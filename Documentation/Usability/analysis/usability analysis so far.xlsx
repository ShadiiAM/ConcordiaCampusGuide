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sg\Downloads\ConcordiaCampusGuide\Documentation\Usability\"/>
    </mc:Choice>
  </mc:AlternateContent>
  <xr:revisionPtr revIDLastSave="0" documentId="13_ncr:9_{64ACF6F6-57EB-4A58-99D4-136582D991CF}" xr6:coauthVersionLast="47" xr6:coauthVersionMax="47" xr10:uidLastSave="{00000000-0000-0000-0000-000000000000}"/>
  <bookViews>
    <workbookView xWindow="-108" yWindow="-108" windowWidth="23256" windowHeight="12456" xr2:uid="{F7AAC8D2-A706-4DC4-BEC1-0B57294BEEF7}"/>
  </bookViews>
  <sheets>
    <sheet name="tasks and their times" sheetId="1" r:id="rId1"/>
  </sheets>
  <calcPr calcId="0"/>
</workbook>
</file>

<file path=xl/calcChain.xml><?xml version="1.0" encoding="utf-8"?>
<calcChain xmlns="http://schemas.openxmlformats.org/spreadsheetml/2006/main">
  <c r="H2" i="1" l="1"/>
  <c r="H53" i="1" s="1"/>
  <c r="G53" i="1"/>
  <c r="I53" i="1"/>
  <c r="J53" i="1"/>
  <c r="K5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K2" i="1"/>
  <c r="J2" i="1"/>
  <c r="I2" i="1"/>
  <c r="G2" i="1"/>
  <c r="G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</calcChain>
</file>

<file path=xl/sharedStrings.xml><?xml version="1.0" encoding="utf-8"?>
<sst xmlns="http://schemas.openxmlformats.org/spreadsheetml/2006/main" count="113" uniqueCount="17">
  <si>
    <t>UserPersona</t>
  </si>
  <si>
    <t>TaskName</t>
  </si>
  <si>
    <t>duration_ms</t>
  </si>
  <si>
    <t>ALEXIA_MARTIN</t>
  </si>
  <si>
    <t>search_location</t>
  </si>
  <si>
    <t>SOFIA_LOPEZ</t>
  </si>
  <si>
    <t>JORDAN_LEE</t>
  </si>
  <si>
    <t>EMILY_NGUYEN</t>
  </si>
  <si>
    <t>LIAM_DUBOIS</t>
  </si>
  <si>
    <t>FAST</t>
  </si>
  <si>
    <t>average</t>
  </si>
  <si>
    <t>slow</t>
  </si>
  <si>
    <t>distracted</t>
  </si>
  <si>
    <t>error prone</t>
  </si>
  <si>
    <t>fast</t>
  </si>
  <si>
    <t>avg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</si>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</sst>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8527-E3FB-44E2-8870-0D206206BA88}">
  <dimension ref="A1:K59"/>
  <sheetViews>
    <sheetView tabSelected="1" workbookViewId="0">
      <selection activeCell="F5" sqref="F5"/>
    </sheetView>
  </sheetViews>
  <sheetFormatPr defaultRowHeight="14.4" x14ac:dyDescent="0.3"/>
  <cols>
    <col min="1" max="1" width="23" customWidth="1"/>
    <col min="2" max="2" width="20.33203125" customWidth="1"/>
    <col min="3" max="3" width="16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G1" t="s">
        <v>9</v>
      </c>
      <c r="H1" t="s">
        <v>11</v>
      </c>
      <c r="I1" t="s">
        <v>12</v>
      </c>
      <c r="J1" t="s">
        <v>10</v>
      </c>
      <c r="K1" t="s">
        <v>13</v>
      </c>
    </row>
    <row r="2" spans="1:11" x14ac:dyDescent="0.3">
      <c r="A2" t="s">
        <v>3</v>
      </c>
      <c r="B2" t="s">
        <v>4</v>
      </c>
      <c r="C2">
        <v>7187</v>
      </c>
      <c r="G2">
        <f>IF(A2="LIAM_DUBOIS",C2,0)</f>
        <v>0</v>
      </c>
      <c r="H2">
        <f>IF(A2="ALEXIA_MARTIN",C2,0)</f>
        <v>7187</v>
      </c>
      <c r="I2">
        <f>IF(A2="SOFIA_LOPEZ",C2,0)</f>
        <v>0</v>
      </c>
      <c r="J2">
        <f>IF(A2="EMILY_NGUYEN",C2,0)</f>
        <v>0</v>
      </c>
      <c r="K2">
        <f>IF(A2="JORDAN_LEE",C2,0)</f>
        <v>0</v>
      </c>
    </row>
    <row r="3" spans="1:11" x14ac:dyDescent="0.3">
      <c r="A3" t="s">
        <v>3</v>
      </c>
      <c r="B3" t="s">
        <v>4</v>
      </c>
      <c r="C3">
        <v>4291</v>
      </c>
      <c r="G3">
        <f t="shared" ref="G3:G51" si="0">IF(A3="LIAM_DUBOIS",C3,0)</f>
        <v>0</v>
      </c>
      <c r="H3">
        <f t="shared" ref="H3:H51" si="1">IF(A3="ALEXIA_MARTIN",C3,0)</f>
        <v>4291</v>
      </c>
      <c r="I3">
        <f t="shared" ref="I3:I51" si="2">IF(A3="SOFIA_LOPEZ",C3,0)</f>
        <v>0</v>
      </c>
      <c r="J3">
        <f t="shared" ref="J3:J51" si="3">IF(A3="EMILY_NGUYEN",C3,0)</f>
        <v>0</v>
      </c>
      <c r="K3">
        <f t="shared" ref="K3:K51" si="4">IF(A3="JORDAN_LEE",C3,0)</f>
        <v>0</v>
      </c>
    </row>
    <row r="4" spans="1:11" x14ac:dyDescent="0.3">
      <c r="A4" t="s">
        <v>5</v>
      </c>
      <c r="B4" t="s">
        <v>4</v>
      </c>
      <c r="C4">
        <v>6558</v>
      </c>
      <c r="G4">
        <f t="shared" si="0"/>
        <v>0</v>
      </c>
      <c r="H4">
        <f t="shared" si="1"/>
        <v>0</v>
      </c>
      <c r="I4">
        <f t="shared" si="2"/>
        <v>6558</v>
      </c>
      <c r="J4">
        <f t="shared" si="3"/>
        <v>0</v>
      </c>
      <c r="K4">
        <f t="shared" si="4"/>
        <v>0</v>
      </c>
    </row>
    <row r="5" spans="1:11" x14ac:dyDescent="0.3">
      <c r="A5" t="s">
        <v>6</v>
      </c>
      <c r="B5" t="s">
        <v>4</v>
      </c>
      <c r="C5">
        <v>3236</v>
      </c>
      <c r="G5">
        <f t="shared" si="0"/>
        <v>0</v>
      </c>
      <c r="H5">
        <f t="shared" si="1"/>
        <v>0</v>
      </c>
      <c r="I5">
        <f t="shared" si="2"/>
        <v>0</v>
      </c>
      <c r="J5">
        <f t="shared" si="3"/>
        <v>0</v>
      </c>
      <c r="K5">
        <f t="shared" si="4"/>
        <v>3236</v>
      </c>
    </row>
    <row r="6" spans="1:11" x14ac:dyDescent="0.3">
      <c r="A6" t="s">
        <v>7</v>
      </c>
      <c r="B6" t="s">
        <v>4</v>
      </c>
      <c r="C6">
        <v>2567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2567</v>
      </c>
      <c r="K6">
        <f t="shared" si="4"/>
        <v>0</v>
      </c>
    </row>
    <row r="7" spans="1:11" x14ac:dyDescent="0.3">
      <c r="A7" t="s">
        <v>8</v>
      </c>
      <c r="B7" t="s">
        <v>4</v>
      </c>
      <c r="C7">
        <v>1581</v>
      </c>
      <c r="G7">
        <f t="shared" si="0"/>
        <v>1581</v>
      </c>
      <c r="H7">
        <f t="shared" si="1"/>
        <v>0</v>
      </c>
      <c r="I7">
        <f t="shared" si="2"/>
        <v>0</v>
      </c>
      <c r="J7">
        <f t="shared" si="3"/>
        <v>0</v>
      </c>
      <c r="K7">
        <f t="shared" si="4"/>
        <v>0</v>
      </c>
    </row>
    <row r="8" spans="1:11" x14ac:dyDescent="0.3">
      <c r="A8" t="s">
        <v>6</v>
      </c>
      <c r="B8" t="s">
        <v>4</v>
      </c>
      <c r="C8">
        <v>4432</v>
      </c>
      <c r="G8">
        <f t="shared" si="0"/>
        <v>0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4432</v>
      </c>
    </row>
    <row r="9" spans="1:11" x14ac:dyDescent="0.3">
      <c r="A9" t="s">
        <v>7</v>
      </c>
      <c r="B9" t="s">
        <v>4</v>
      </c>
      <c r="C9">
        <v>2450</v>
      </c>
      <c r="G9">
        <f t="shared" si="0"/>
        <v>0</v>
      </c>
      <c r="H9">
        <f t="shared" si="1"/>
        <v>0</v>
      </c>
      <c r="I9">
        <f t="shared" si="2"/>
        <v>0</v>
      </c>
      <c r="J9">
        <f t="shared" si="3"/>
        <v>2450</v>
      </c>
      <c r="K9">
        <f t="shared" si="4"/>
        <v>0</v>
      </c>
    </row>
    <row r="10" spans="1:11" x14ac:dyDescent="0.3">
      <c r="A10" t="s">
        <v>7</v>
      </c>
      <c r="B10" t="s">
        <v>4</v>
      </c>
      <c r="C10">
        <v>2844</v>
      </c>
      <c r="G10">
        <f t="shared" si="0"/>
        <v>0</v>
      </c>
      <c r="H10">
        <f t="shared" si="1"/>
        <v>0</v>
      </c>
      <c r="I10">
        <f t="shared" si="2"/>
        <v>0</v>
      </c>
      <c r="J10">
        <f t="shared" si="3"/>
        <v>2844</v>
      </c>
      <c r="K10">
        <f t="shared" si="4"/>
        <v>0</v>
      </c>
    </row>
    <row r="11" spans="1:11" x14ac:dyDescent="0.3">
      <c r="A11" t="s">
        <v>7</v>
      </c>
      <c r="B11" t="s">
        <v>4</v>
      </c>
      <c r="C11">
        <v>2551</v>
      </c>
      <c r="G11">
        <f t="shared" si="0"/>
        <v>0</v>
      </c>
      <c r="H11">
        <f t="shared" si="1"/>
        <v>0</v>
      </c>
      <c r="I11">
        <f t="shared" si="2"/>
        <v>0</v>
      </c>
      <c r="J11">
        <f t="shared" si="3"/>
        <v>2551</v>
      </c>
      <c r="K11">
        <f t="shared" si="4"/>
        <v>0</v>
      </c>
    </row>
    <row r="12" spans="1:11" x14ac:dyDescent="0.3">
      <c r="A12" t="s">
        <v>8</v>
      </c>
      <c r="B12" t="s">
        <v>4</v>
      </c>
      <c r="C12">
        <v>1101</v>
      </c>
      <c r="G12">
        <f t="shared" si="0"/>
        <v>1101</v>
      </c>
      <c r="H12">
        <f t="shared" si="1"/>
        <v>0</v>
      </c>
      <c r="I12">
        <f t="shared" si="2"/>
        <v>0</v>
      </c>
      <c r="J12">
        <f t="shared" si="3"/>
        <v>0</v>
      </c>
      <c r="K12">
        <f t="shared" si="4"/>
        <v>0</v>
      </c>
    </row>
    <row r="13" spans="1:11" x14ac:dyDescent="0.3">
      <c r="A13" t="s">
        <v>5</v>
      </c>
      <c r="B13" t="s">
        <v>4</v>
      </c>
      <c r="C13">
        <v>10746</v>
      </c>
      <c r="G13">
        <f t="shared" si="0"/>
        <v>0</v>
      </c>
      <c r="H13">
        <f t="shared" si="1"/>
        <v>0</v>
      </c>
      <c r="I13">
        <f t="shared" si="2"/>
        <v>10746</v>
      </c>
      <c r="J13">
        <f t="shared" si="3"/>
        <v>0</v>
      </c>
      <c r="K13">
        <f t="shared" si="4"/>
        <v>0</v>
      </c>
    </row>
    <row r="14" spans="1:11" x14ac:dyDescent="0.3">
      <c r="A14" t="s">
        <v>7</v>
      </c>
      <c r="B14" t="s">
        <v>4</v>
      </c>
      <c r="C14">
        <v>2324</v>
      </c>
      <c r="G14">
        <f t="shared" si="0"/>
        <v>0</v>
      </c>
      <c r="H14">
        <f t="shared" si="1"/>
        <v>0</v>
      </c>
      <c r="I14">
        <f t="shared" si="2"/>
        <v>0</v>
      </c>
      <c r="J14">
        <f t="shared" si="3"/>
        <v>2324</v>
      </c>
      <c r="K14">
        <f t="shared" si="4"/>
        <v>0</v>
      </c>
    </row>
    <row r="15" spans="1:11" x14ac:dyDescent="0.3">
      <c r="A15" t="s">
        <v>6</v>
      </c>
      <c r="B15" t="s">
        <v>4</v>
      </c>
      <c r="C15">
        <v>4618</v>
      </c>
      <c r="G15">
        <f t="shared" si="0"/>
        <v>0</v>
      </c>
      <c r="H15">
        <f t="shared" si="1"/>
        <v>0</v>
      </c>
      <c r="I15">
        <f t="shared" si="2"/>
        <v>0</v>
      </c>
      <c r="J15">
        <f t="shared" si="3"/>
        <v>0</v>
      </c>
      <c r="K15">
        <f t="shared" si="4"/>
        <v>4618</v>
      </c>
    </row>
    <row r="16" spans="1:11" x14ac:dyDescent="0.3">
      <c r="A16" t="s">
        <v>6</v>
      </c>
      <c r="B16" t="s">
        <v>4</v>
      </c>
      <c r="C16">
        <v>4847</v>
      </c>
      <c r="G16">
        <f t="shared" si="0"/>
        <v>0</v>
      </c>
      <c r="H16">
        <f t="shared" si="1"/>
        <v>0</v>
      </c>
      <c r="I16">
        <f t="shared" si="2"/>
        <v>0</v>
      </c>
      <c r="J16">
        <f t="shared" si="3"/>
        <v>0</v>
      </c>
      <c r="K16">
        <f t="shared" si="4"/>
        <v>4847</v>
      </c>
    </row>
    <row r="17" spans="1:11" x14ac:dyDescent="0.3">
      <c r="A17" t="s">
        <v>7</v>
      </c>
      <c r="B17" t="s">
        <v>4</v>
      </c>
      <c r="C17">
        <v>2002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2002</v>
      </c>
      <c r="K17">
        <f t="shared" si="4"/>
        <v>0</v>
      </c>
    </row>
    <row r="18" spans="1:11" x14ac:dyDescent="0.3">
      <c r="A18" t="s">
        <v>8</v>
      </c>
      <c r="B18" t="s">
        <v>4</v>
      </c>
      <c r="C18">
        <v>9292</v>
      </c>
      <c r="G18">
        <f t="shared" si="0"/>
        <v>9292</v>
      </c>
      <c r="H18">
        <f t="shared" si="1"/>
        <v>0</v>
      </c>
      <c r="I18">
        <f t="shared" si="2"/>
        <v>0</v>
      </c>
      <c r="J18">
        <f t="shared" si="3"/>
        <v>0</v>
      </c>
      <c r="K18">
        <f t="shared" si="4"/>
        <v>0</v>
      </c>
    </row>
    <row r="19" spans="1:11" x14ac:dyDescent="0.3">
      <c r="A19" t="s">
        <v>8</v>
      </c>
      <c r="B19" t="s">
        <v>4</v>
      </c>
      <c r="C19">
        <v>1064</v>
      </c>
      <c r="G19">
        <f t="shared" si="0"/>
        <v>1064</v>
      </c>
      <c r="H19">
        <f t="shared" si="1"/>
        <v>0</v>
      </c>
      <c r="I19">
        <f t="shared" si="2"/>
        <v>0</v>
      </c>
      <c r="J19">
        <f t="shared" si="3"/>
        <v>0</v>
      </c>
      <c r="K19">
        <f t="shared" si="4"/>
        <v>0</v>
      </c>
    </row>
    <row r="20" spans="1:11" x14ac:dyDescent="0.3">
      <c r="A20" t="s">
        <v>8</v>
      </c>
      <c r="B20" t="s">
        <v>4</v>
      </c>
      <c r="C20">
        <v>1095</v>
      </c>
      <c r="G20">
        <f t="shared" si="0"/>
        <v>1095</v>
      </c>
      <c r="H20">
        <f t="shared" si="1"/>
        <v>0</v>
      </c>
      <c r="I20">
        <f t="shared" si="2"/>
        <v>0</v>
      </c>
      <c r="J20">
        <f t="shared" si="3"/>
        <v>0</v>
      </c>
      <c r="K20">
        <f t="shared" si="4"/>
        <v>0</v>
      </c>
    </row>
    <row r="21" spans="1:11" x14ac:dyDescent="0.3">
      <c r="A21" t="s">
        <v>6</v>
      </c>
      <c r="B21" t="s">
        <v>4</v>
      </c>
      <c r="C21">
        <v>4360</v>
      </c>
      <c r="G21">
        <f t="shared" si="0"/>
        <v>0</v>
      </c>
      <c r="H21">
        <f t="shared" si="1"/>
        <v>0</v>
      </c>
      <c r="I21">
        <f t="shared" si="2"/>
        <v>0</v>
      </c>
      <c r="J21">
        <f t="shared" si="3"/>
        <v>0</v>
      </c>
      <c r="K21">
        <f t="shared" si="4"/>
        <v>4360</v>
      </c>
    </row>
    <row r="22" spans="1:11" x14ac:dyDescent="0.3">
      <c r="A22" t="s">
        <v>5</v>
      </c>
      <c r="B22" t="s">
        <v>4</v>
      </c>
      <c r="C22">
        <v>7682</v>
      </c>
      <c r="G22">
        <f t="shared" si="0"/>
        <v>0</v>
      </c>
      <c r="H22">
        <f t="shared" si="1"/>
        <v>0</v>
      </c>
      <c r="I22">
        <f t="shared" si="2"/>
        <v>7682</v>
      </c>
      <c r="J22">
        <f t="shared" si="3"/>
        <v>0</v>
      </c>
      <c r="K22">
        <f t="shared" si="4"/>
        <v>0</v>
      </c>
    </row>
    <row r="23" spans="1:11" x14ac:dyDescent="0.3">
      <c r="A23" t="s">
        <v>3</v>
      </c>
      <c r="B23" t="s">
        <v>4</v>
      </c>
      <c r="C23">
        <v>4959</v>
      </c>
      <c r="G23">
        <f t="shared" si="0"/>
        <v>0</v>
      </c>
      <c r="H23">
        <f t="shared" si="1"/>
        <v>4959</v>
      </c>
      <c r="I23">
        <f t="shared" si="2"/>
        <v>0</v>
      </c>
      <c r="J23">
        <f t="shared" si="3"/>
        <v>0</v>
      </c>
      <c r="K23">
        <f t="shared" si="4"/>
        <v>0</v>
      </c>
    </row>
    <row r="24" spans="1:11" x14ac:dyDescent="0.3">
      <c r="A24" t="s">
        <v>7</v>
      </c>
      <c r="B24" t="s">
        <v>4</v>
      </c>
      <c r="C24">
        <v>2412</v>
      </c>
      <c r="G24">
        <f t="shared" si="0"/>
        <v>0</v>
      </c>
      <c r="H24">
        <f t="shared" si="1"/>
        <v>0</v>
      </c>
      <c r="I24">
        <f t="shared" si="2"/>
        <v>0</v>
      </c>
      <c r="J24">
        <f t="shared" si="3"/>
        <v>2412</v>
      </c>
      <c r="K24">
        <f t="shared" si="4"/>
        <v>0</v>
      </c>
    </row>
    <row r="25" spans="1:11" x14ac:dyDescent="0.3">
      <c r="A25" t="s">
        <v>5</v>
      </c>
      <c r="B25" t="s">
        <v>4</v>
      </c>
      <c r="C25">
        <v>6155</v>
      </c>
      <c r="G25">
        <f t="shared" si="0"/>
        <v>0</v>
      </c>
      <c r="H25">
        <f t="shared" si="1"/>
        <v>0</v>
      </c>
      <c r="I25">
        <f t="shared" si="2"/>
        <v>6155</v>
      </c>
      <c r="J25">
        <f t="shared" si="3"/>
        <v>0</v>
      </c>
      <c r="K25">
        <f t="shared" si="4"/>
        <v>0</v>
      </c>
    </row>
    <row r="26" spans="1:11" x14ac:dyDescent="0.3">
      <c r="A26" t="s">
        <v>8</v>
      </c>
      <c r="B26" t="s">
        <v>4</v>
      </c>
      <c r="C26">
        <v>1312</v>
      </c>
      <c r="G26">
        <f t="shared" si="0"/>
        <v>1312</v>
      </c>
      <c r="H26">
        <f t="shared" si="1"/>
        <v>0</v>
      </c>
      <c r="I26">
        <f t="shared" si="2"/>
        <v>0</v>
      </c>
      <c r="J26">
        <f t="shared" si="3"/>
        <v>0</v>
      </c>
      <c r="K26">
        <f t="shared" si="4"/>
        <v>0</v>
      </c>
    </row>
    <row r="27" spans="1:11" x14ac:dyDescent="0.3">
      <c r="A27" t="s">
        <v>7</v>
      </c>
      <c r="B27" t="s">
        <v>4</v>
      </c>
      <c r="C27">
        <v>2850</v>
      </c>
      <c r="G27">
        <f t="shared" si="0"/>
        <v>0</v>
      </c>
      <c r="H27">
        <f t="shared" si="1"/>
        <v>0</v>
      </c>
      <c r="I27">
        <f t="shared" si="2"/>
        <v>0</v>
      </c>
      <c r="J27">
        <f t="shared" si="3"/>
        <v>2850</v>
      </c>
      <c r="K27">
        <f t="shared" si="4"/>
        <v>0</v>
      </c>
    </row>
    <row r="28" spans="1:11" x14ac:dyDescent="0.3">
      <c r="A28" t="s">
        <v>7</v>
      </c>
      <c r="B28" t="s">
        <v>4</v>
      </c>
      <c r="C28">
        <v>2323</v>
      </c>
      <c r="G28">
        <f t="shared" si="0"/>
        <v>0</v>
      </c>
      <c r="H28">
        <f t="shared" si="1"/>
        <v>0</v>
      </c>
      <c r="I28">
        <f t="shared" si="2"/>
        <v>0</v>
      </c>
      <c r="J28">
        <f t="shared" si="3"/>
        <v>2323</v>
      </c>
      <c r="K28">
        <f t="shared" si="4"/>
        <v>0</v>
      </c>
    </row>
    <row r="29" spans="1:11" x14ac:dyDescent="0.3">
      <c r="A29" t="s">
        <v>8</v>
      </c>
      <c r="B29" t="s">
        <v>4</v>
      </c>
      <c r="C29">
        <v>1328</v>
      </c>
      <c r="G29">
        <f t="shared" si="0"/>
        <v>1328</v>
      </c>
      <c r="H29">
        <f t="shared" si="1"/>
        <v>0</v>
      </c>
      <c r="I29">
        <f t="shared" si="2"/>
        <v>0</v>
      </c>
      <c r="J29">
        <f t="shared" si="3"/>
        <v>0</v>
      </c>
      <c r="K29">
        <f t="shared" si="4"/>
        <v>0</v>
      </c>
    </row>
    <row r="30" spans="1:11" x14ac:dyDescent="0.3">
      <c r="A30" t="s">
        <v>3</v>
      </c>
      <c r="B30" t="s">
        <v>4</v>
      </c>
      <c r="C30">
        <v>5481</v>
      </c>
      <c r="G30">
        <f t="shared" si="0"/>
        <v>0</v>
      </c>
      <c r="H30">
        <f t="shared" si="1"/>
        <v>5481</v>
      </c>
      <c r="I30">
        <f t="shared" si="2"/>
        <v>0</v>
      </c>
      <c r="J30">
        <f t="shared" si="3"/>
        <v>0</v>
      </c>
      <c r="K30">
        <f t="shared" si="4"/>
        <v>0</v>
      </c>
    </row>
    <row r="31" spans="1:11" x14ac:dyDescent="0.3">
      <c r="A31" t="s">
        <v>8</v>
      </c>
      <c r="B31" t="s">
        <v>4</v>
      </c>
      <c r="C31">
        <v>1253</v>
      </c>
      <c r="G31">
        <f t="shared" si="0"/>
        <v>1253</v>
      </c>
      <c r="H31">
        <f t="shared" si="1"/>
        <v>0</v>
      </c>
      <c r="I31">
        <f t="shared" si="2"/>
        <v>0</v>
      </c>
      <c r="J31">
        <f t="shared" si="3"/>
        <v>0</v>
      </c>
      <c r="K31">
        <f t="shared" si="4"/>
        <v>0</v>
      </c>
    </row>
    <row r="32" spans="1:11" x14ac:dyDescent="0.3">
      <c r="A32" t="s">
        <v>6</v>
      </c>
      <c r="B32" t="s">
        <v>4</v>
      </c>
      <c r="C32">
        <v>3928</v>
      </c>
      <c r="G32">
        <f t="shared" si="0"/>
        <v>0</v>
      </c>
      <c r="H32">
        <f t="shared" si="1"/>
        <v>0</v>
      </c>
      <c r="I32">
        <f t="shared" si="2"/>
        <v>0</v>
      </c>
      <c r="J32">
        <f t="shared" si="3"/>
        <v>0</v>
      </c>
      <c r="K32">
        <f t="shared" si="4"/>
        <v>3928</v>
      </c>
    </row>
    <row r="33" spans="1:11" x14ac:dyDescent="0.3">
      <c r="A33" t="s">
        <v>3</v>
      </c>
      <c r="B33" t="s">
        <v>4</v>
      </c>
      <c r="C33">
        <v>4294</v>
      </c>
      <c r="G33">
        <f t="shared" si="0"/>
        <v>0</v>
      </c>
      <c r="H33">
        <f t="shared" si="1"/>
        <v>4294</v>
      </c>
      <c r="I33">
        <f t="shared" si="2"/>
        <v>0</v>
      </c>
      <c r="J33">
        <f t="shared" si="3"/>
        <v>0</v>
      </c>
      <c r="K33">
        <f t="shared" si="4"/>
        <v>0</v>
      </c>
    </row>
    <row r="34" spans="1:11" x14ac:dyDescent="0.3">
      <c r="A34" t="s">
        <v>6</v>
      </c>
      <c r="B34" t="s">
        <v>4</v>
      </c>
      <c r="C34">
        <v>2906</v>
      </c>
      <c r="G34">
        <f t="shared" si="0"/>
        <v>0</v>
      </c>
      <c r="H34">
        <f t="shared" si="1"/>
        <v>0</v>
      </c>
      <c r="I34">
        <f t="shared" si="2"/>
        <v>0</v>
      </c>
      <c r="J34">
        <f t="shared" si="3"/>
        <v>0</v>
      </c>
      <c r="K34">
        <f t="shared" si="4"/>
        <v>2906</v>
      </c>
    </row>
    <row r="35" spans="1:11" x14ac:dyDescent="0.3">
      <c r="A35" t="s">
        <v>5</v>
      </c>
      <c r="B35" t="s">
        <v>4</v>
      </c>
      <c r="C35">
        <v>7407</v>
      </c>
      <c r="G35">
        <f t="shared" si="0"/>
        <v>0</v>
      </c>
      <c r="H35">
        <f t="shared" si="1"/>
        <v>0</v>
      </c>
      <c r="I35">
        <f t="shared" si="2"/>
        <v>7407</v>
      </c>
      <c r="J35">
        <f t="shared" si="3"/>
        <v>0</v>
      </c>
      <c r="K35">
        <f t="shared" si="4"/>
        <v>0</v>
      </c>
    </row>
    <row r="36" spans="1:11" x14ac:dyDescent="0.3">
      <c r="A36" t="s">
        <v>5</v>
      </c>
      <c r="B36" t="s">
        <v>4</v>
      </c>
      <c r="C36">
        <v>9889</v>
      </c>
      <c r="G36">
        <f t="shared" si="0"/>
        <v>0</v>
      </c>
      <c r="H36">
        <f t="shared" si="1"/>
        <v>0</v>
      </c>
      <c r="I36">
        <f t="shared" si="2"/>
        <v>9889</v>
      </c>
      <c r="J36">
        <f t="shared" si="3"/>
        <v>0</v>
      </c>
      <c r="K36">
        <f t="shared" si="4"/>
        <v>0</v>
      </c>
    </row>
    <row r="37" spans="1:11" x14ac:dyDescent="0.3">
      <c r="A37" t="s">
        <v>7</v>
      </c>
      <c r="B37" t="s">
        <v>4</v>
      </c>
      <c r="C37">
        <v>2890</v>
      </c>
      <c r="G37">
        <f t="shared" si="0"/>
        <v>0</v>
      </c>
      <c r="H37">
        <f t="shared" si="1"/>
        <v>0</v>
      </c>
      <c r="I37">
        <f t="shared" si="2"/>
        <v>0</v>
      </c>
      <c r="J37">
        <f t="shared" si="3"/>
        <v>2890</v>
      </c>
      <c r="K37">
        <f t="shared" si="4"/>
        <v>0</v>
      </c>
    </row>
    <row r="38" spans="1:11" x14ac:dyDescent="0.3">
      <c r="A38" t="s">
        <v>3</v>
      </c>
      <c r="B38" t="s">
        <v>4</v>
      </c>
      <c r="C38">
        <v>5576</v>
      </c>
      <c r="G38">
        <f t="shared" si="0"/>
        <v>0</v>
      </c>
      <c r="H38">
        <f t="shared" si="1"/>
        <v>5576</v>
      </c>
      <c r="I38">
        <f t="shared" si="2"/>
        <v>0</v>
      </c>
      <c r="J38">
        <f t="shared" si="3"/>
        <v>0</v>
      </c>
      <c r="K38">
        <f t="shared" si="4"/>
        <v>0</v>
      </c>
    </row>
    <row r="39" spans="1:11" x14ac:dyDescent="0.3">
      <c r="A39" t="s">
        <v>8</v>
      </c>
      <c r="B39" t="s">
        <v>4</v>
      </c>
      <c r="C39">
        <v>1234</v>
      </c>
      <c r="G39">
        <f t="shared" si="0"/>
        <v>1234</v>
      </c>
      <c r="H39">
        <f t="shared" si="1"/>
        <v>0</v>
      </c>
      <c r="I39">
        <f t="shared" si="2"/>
        <v>0</v>
      </c>
      <c r="J39">
        <f t="shared" si="3"/>
        <v>0</v>
      </c>
      <c r="K39">
        <f t="shared" si="4"/>
        <v>0</v>
      </c>
    </row>
    <row r="40" spans="1:11" x14ac:dyDescent="0.3">
      <c r="A40" t="s">
        <v>8</v>
      </c>
      <c r="B40" t="s">
        <v>4</v>
      </c>
      <c r="C40">
        <v>1262</v>
      </c>
      <c r="G40">
        <f t="shared" si="0"/>
        <v>1262</v>
      </c>
      <c r="H40">
        <f t="shared" si="1"/>
        <v>0</v>
      </c>
      <c r="I40">
        <f t="shared" si="2"/>
        <v>0</v>
      </c>
      <c r="J40">
        <f t="shared" si="3"/>
        <v>0</v>
      </c>
      <c r="K40">
        <f t="shared" si="4"/>
        <v>0</v>
      </c>
    </row>
    <row r="41" spans="1:11" x14ac:dyDescent="0.3">
      <c r="A41" t="s">
        <v>8</v>
      </c>
      <c r="B41" t="s">
        <v>4</v>
      </c>
      <c r="C41">
        <v>1006</v>
      </c>
      <c r="G41">
        <f t="shared" si="0"/>
        <v>1006</v>
      </c>
      <c r="H41">
        <f t="shared" si="1"/>
        <v>0</v>
      </c>
      <c r="I41">
        <f t="shared" si="2"/>
        <v>0</v>
      </c>
      <c r="J41">
        <f t="shared" si="3"/>
        <v>0</v>
      </c>
      <c r="K41">
        <f t="shared" si="4"/>
        <v>0</v>
      </c>
    </row>
    <row r="42" spans="1:11" x14ac:dyDescent="0.3">
      <c r="A42" t="s">
        <v>5</v>
      </c>
      <c r="B42" t="s">
        <v>4</v>
      </c>
      <c r="C42">
        <v>7124</v>
      </c>
      <c r="G42">
        <f t="shared" si="0"/>
        <v>0</v>
      </c>
      <c r="H42">
        <f t="shared" si="1"/>
        <v>0</v>
      </c>
      <c r="I42">
        <f t="shared" si="2"/>
        <v>7124</v>
      </c>
      <c r="J42">
        <f t="shared" si="3"/>
        <v>0</v>
      </c>
      <c r="K42">
        <f t="shared" si="4"/>
        <v>0</v>
      </c>
    </row>
    <row r="43" spans="1:11" x14ac:dyDescent="0.3">
      <c r="A43" t="s">
        <v>3</v>
      </c>
      <c r="B43" t="s">
        <v>4</v>
      </c>
      <c r="C43">
        <v>3921</v>
      </c>
      <c r="G43">
        <f t="shared" si="0"/>
        <v>0</v>
      </c>
      <c r="H43">
        <f t="shared" si="1"/>
        <v>3921</v>
      </c>
      <c r="I43">
        <f t="shared" si="2"/>
        <v>0</v>
      </c>
      <c r="J43">
        <f t="shared" si="3"/>
        <v>0</v>
      </c>
      <c r="K43">
        <f t="shared" si="4"/>
        <v>0</v>
      </c>
    </row>
    <row r="44" spans="1:11" x14ac:dyDescent="0.3">
      <c r="A44" t="s">
        <v>3</v>
      </c>
      <c r="B44" t="s">
        <v>4</v>
      </c>
      <c r="C44">
        <v>3801</v>
      </c>
      <c r="G44">
        <f t="shared" si="0"/>
        <v>0</v>
      </c>
      <c r="H44">
        <f t="shared" si="1"/>
        <v>3801</v>
      </c>
      <c r="I44">
        <f t="shared" si="2"/>
        <v>0</v>
      </c>
      <c r="J44">
        <f t="shared" si="3"/>
        <v>0</v>
      </c>
      <c r="K44">
        <f t="shared" si="4"/>
        <v>0</v>
      </c>
    </row>
    <row r="45" spans="1:11" x14ac:dyDescent="0.3">
      <c r="A45" t="s">
        <v>7</v>
      </c>
      <c r="B45" t="s">
        <v>4</v>
      </c>
      <c r="C45">
        <v>2512</v>
      </c>
      <c r="G45">
        <f t="shared" si="0"/>
        <v>0</v>
      </c>
      <c r="H45">
        <f t="shared" si="1"/>
        <v>0</v>
      </c>
      <c r="I45">
        <f t="shared" si="2"/>
        <v>0</v>
      </c>
      <c r="J45">
        <f t="shared" si="3"/>
        <v>2512</v>
      </c>
      <c r="K45">
        <f t="shared" si="4"/>
        <v>0</v>
      </c>
    </row>
    <row r="46" spans="1:11" x14ac:dyDescent="0.3">
      <c r="A46" t="s">
        <v>8</v>
      </c>
      <c r="B46" t="s">
        <v>4</v>
      </c>
      <c r="C46">
        <v>1515</v>
      </c>
      <c r="G46">
        <f t="shared" si="0"/>
        <v>1515</v>
      </c>
      <c r="H46">
        <f t="shared" si="1"/>
        <v>0</v>
      </c>
      <c r="I46">
        <f t="shared" si="2"/>
        <v>0</v>
      </c>
      <c r="J46">
        <f t="shared" si="3"/>
        <v>0</v>
      </c>
      <c r="K46">
        <f t="shared" si="4"/>
        <v>0</v>
      </c>
    </row>
    <row r="47" spans="1:11" x14ac:dyDescent="0.3">
      <c r="A47" t="s">
        <v>3</v>
      </c>
      <c r="B47" t="s">
        <v>4</v>
      </c>
      <c r="C47">
        <v>5269</v>
      </c>
      <c r="G47">
        <f t="shared" si="0"/>
        <v>0</v>
      </c>
      <c r="H47">
        <f t="shared" si="1"/>
        <v>5269</v>
      </c>
      <c r="I47">
        <f t="shared" si="2"/>
        <v>0</v>
      </c>
      <c r="J47">
        <f t="shared" si="3"/>
        <v>0</v>
      </c>
      <c r="K47">
        <f t="shared" si="4"/>
        <v>0</v>
      </c>
    </row>
    <row r="48" spans="1:11" x14ac:dyDescent="0.3">
      <c r="A48" t="s">
        <v>3</v>
      </c>
      <c r="B48" t="s">
        <v>4</v>
      </c>
      <c r="C48">
        <v>5283</v>
      </c>
      <c r="G48">
        <f t="shared" si="0"/>
        <v>0</v>
      </c>
      <c r="H48">
        <f t="shared" si="1"/>
        <v>5283</v>
      </c>
      <c r="I48">
        <f t="shared" si="2"/>
        <v>0</v>
      </c>
      <c r="J48">
        <f t="shared" si="3"/>
        <v>0</v>
      </c>
      <c r="K48">
        <f t="shared" si="4"/>
        <v>0</v>
      </c>
    </row>
    <row r="49" spans="1:11" x14ac:dyDescent="0.3">
      <c r="A49" t="s">
        <v>5</v>
      </c>
      <c r="B49" t="s">
        <v>4</v>
      </c>
      <c r="C49">
        <v>7667</v>
      </c>
      <c r="G49">
        <f t="shared" si="0"/>
        <v>0</v>
      </c>
      <c r="H49">
        <f t="shared" si="1"/>
        <v>0</v>
      </c>
      <c r="I49">
        <f t="shared" si="2"/>
        <v>7667</v>
      </c>
      <c r="J49">
        <f t="shared" si="3"/>
        <v>0</v>
      </c>
      <c r="K49">
        <f t="shared" si="4"/>
        <v>0</v>
      </c>
    </row>
    <row r="50" spans="1:11" x14ac:dyDescent="0.3">
      <c r="A50" t="s">
        <v>6</v>
      </c>
      <c r="B50" t="s">
        <v>4</v>
      </c>
      <c r="C50">
        <v>3056</v>
      </c>
      <c r="G50">
        <f t="shared" si="0"/>
        <v>0</v>
      </c>
      <c r="H50">
        <f t="shared" si="1"/>
        <v>0</v>
      </c>
      <c r="I50">
        <f t="shared" si="2"/>
        <v>0</v>
      </c>
      <c r="J50">
        <f t="shared" si="3"/>
        <v>0</v>
      </c>
      <c r="K50">
        <f t="shared" si="4"/>
        <v>3056</v>
      </c>
    </row>
    <row r="51" spans="1:11" x14ac:dyDescent="0.3">
      <c r="A51" t="s">
        <v>5</v>
      </c>
      <c r="B51" t="s">
        <v>4</v>
      </c>
      <c r="C51">
        <v>5948</v>
      </c>
      <c r="G51">
        <f t="shared" si="0"/>
        <v>0</v>
      </c>
      <c r="H51">
        <f t="shared" si="1"/>
        <v>0</v>
      </c>
      <c r="I51">
        <f t="shared" si="2"/>
        <v>5948</v>
      </c>
      <c r="J51">
        <f t="shared" si="3"/>
        <v>0</v>
      </c>
      <c r="K51">
        <f t="shared" si="4"/>
        <v>0</v>
      </c>
    </row>
    <row r="53" spans="1:11" x14ac:dyDescent="0.3">
      <c r="G53">
        <f>SUM(G2:G51)/COUNTIF(G2:G51, "&lt;&gt;0")</f>
        <v>1920.25</v>
      </c>
      <c r="H53">
        <f>SUM(H2:H51)/COUNTIF(H2:H51, "&lt;&gt;0")</f>
        <v>5006.2</v>
      </c>
      <c r="I53">
        <f t="shared" ref="I53:K53" si="5">SUM(I2:I51)/COUNTIF(I2:I51, "&lt;&gt;0")</f>
        <v>7686.2222222222226</v>
      </c>
      <c r="J53">
        <f t="shared" si="5"/>
        <v>2520.4545454545455</v>
      </c>
      <c r="K53">
        <f t="shared" si="5"/>
        <v>3922.875</v>
      </c>
    </row>
    <row r="58" spans="1:11" x14ac:dyDescent="0.3">
      <c r="G58" t="s">
        <v>14</v>
      </c>
      <c r="H58" t="s">
        <v>15</v>
      </c>
      <c r="I58" t="s">
        <v>11</v>
      </c>
      <c r="J58" t="s">
        <v>16</v>
      </c>
      <c r="K58" t="s">
        <v>12</v>
      </c>
    </row>
    <row r="59" spans="1:11" x14ac:dyDescent="0.3">
      <c r="G59">
        <v>1920</v>
      </c>
      <c r="H59">
        <v>2520</v>
      </c>
      <c r="I59">
        <v>5006</v>
      </c>
      <c r="J59">
        <v>3922</v>
      </c>
      <c r="K59">
        <v>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and their 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Gasser</dc:creator>
  <cp:lastModifiedBy>Hossam Gasser</cp:lastModifiedBy>
  <dcterms:created xsi:type="dcterms:W3CDTF">2026-03-05T13:52:01Z</dcterms:created>
  <dcterms:modified xsi:type="dcterms:W3CDTF">2026-03-05T13:53:18Z</dcterms:modified>
</cp:coreProperties>
</file>