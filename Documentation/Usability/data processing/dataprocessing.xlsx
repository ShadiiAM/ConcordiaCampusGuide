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hossg\Downloads\ConcordiaCampusGuide\Documentation\Usability\rawdata\"/>
    </mc:Choice>
  </mc:AlternateContent>
  <xr:revisionPtr revIDLastSave="0" documentId="8_{D1F81985-8792-41A8-A1CC-015D9FA68B55}" xr6:coauthVersionLast="47" xr6:coauthVersionMax="47" xr10:uidLastSave="{00000000-0000-0000-0000-000000000000}"/>
  <bookViews>
    <workbookView xWindow="-108" yWindow="-108" windowWidth="23256" windowHeight="12456" xr2:uid="{61CEDB5B-61DA-49F1-9FED-88453BAFF05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92" i="1" l="1"/>
  <c r="C263" i="1"/>
  <c r="C264" i="1"/>
  <c r="C265" i="1"/>
  <c r="C266" i="1"/>
  <c r="C267" i="1"/>
  <c r="C268" i="1"/>
  <c r="C269" i="1"/>
  <c r="C270" i="1"/>
  <c r="C271" i="1"/>
  <c r="C272" i="1"/>
  <c r="C273" i="1"/>
  <c r="C274" i="1"/>
  <c r="C275" i="1"/>
  <c r="C276" i="1"/>
  <c r="C277" i="1"/>
  <c r="C278" i="1"/>
  <c r="C279" i="1"/>
  <c r="C280" i="1"/>
  <c r="C281" i="1"/>
  <c r="C282" i="1"/>
  <c r="C283" i="1"/>
  <c r="C284" i="1"/>
  <c r="C285" i="1"/>
  <c r="C262" i="1"/>
  <c r="C231" i="1"/>
  <c r="C232" i="1"/>
  <c r="C233" i="1"/>
  <c r="C234" i="1"/>
  <c r="C235" i="1"/>
  <c r="C236" i="1"/>
  <c r="C237" i="1"/>
  <c r="C238" i="1"/>
  <c r="C239" i="1"/>
  <c r="C240" i="1"/>
  <c r="C241" i="1"/>
  <c r="C242" i="1"/>
  <c r="C243" i="1"/>
  <c r="C244" i="1"/>
  <c r="C245" i="1"/>
  <c r="C230"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179"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38" i="1"/>
  <c r="C99" i="1"/>
  <c r="C100" i="1"/>
  <c r="C101" i="1"/>
  <c r="C102" i="1"/>
  <c r="C103" i="1"/>
  <c r="C104" i="1"/>
  <c r="C105" i="1"/>
  <c r="C106" i="1"/>
  <c r="C107" i="1"/>
  <c r="C108" i="1"/>
  <c r="C109" i="1"/>
  <c r="C110" i="1"/>
  <c r="C111" i="1"/>
  <c r="C112" i="1"/>
  <c r="C113" i="1"/>
  <c r="C114" i="1"/>
  <c r="C115" i="1"/>
  <c r="C116" i="1"/>
  <c r="C117" i="1"/>
  <c r="C118" i="1"/>
  <c r="C98" i="1"/>
  <c r="C54" i="1"/>
  <c r="C55" i="1"/>
  <c r="C56" i="1"/>
  <c r="C57" i="1"/>
  <c r="C58" i="1"/>
  <c r="C59" i="1"/>
  <c r="C60" i="1"/>
  <c r="C61" i="1"/>
  <c r="C62" i="1"/>
  <c r="C63" i="1"/>
  <c r="C64" i="1"/>
  <c r="C65" i="1"/>
  <c r="C66" i="1"/>
  <c r="C67" i="1"/>
  <c r="C68" i="1"/>
  <c r="C69" i="1"/>
  <c r="C70" i="1"/>
  <c r="C71" i="1"/>
  <c r="C72" i="1"/>
  <c r="C73" i="1"/>
  <c r="C74" i="1"/>
  <c r="C75" i="1"/>
  <c r="C76" i="1"/>
  <c r="C77" i="1"/>
  <c r="C78" i="1"/>
  <c r="C79" i="1"/>
  <c r="C80" i="1"/>
  <c r="C5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 i="1"/>
  <c r="E291" i="1"/>
</calcChain>
</file>

<file path=xl/sharedStrings.xml><?xml version="1.0" encoding="utf-8"?>
<sst xmlns="http://schemas.openxmlformats.org/spreadsheetml/2006/main" count="257" uniqueCount="227">
  <si>
    <t>MAP navigation button clicked,1.352</t>
  </si>
  <si>
    <t>Map Controls Hidden Toggle,2.906</t>
  </si>
  <si>
    <t>Search Bar Query submit,6.839</t>
  </si>
  <si>
    <t>POI navigation button clicked,6.028</t>
  </si>
  <si>
    <t>MAP navigation button clicked,1.234</t>
  </si>
  <si>
    <t>Map Controls Hidden Toggle,3.474</t>
  </si>
  <si>
    <t>Search Bar Profile Button clicked,9.374</t>
  </si>
  <si>
    <t>Attempted profile button from profile page,1.816</t>
  </si>
  <si>
    <t>Go to accessibility page click,0.931</t>
  </si>
  <si>
    <t>Increase Text size clicked,1.679</t>
  </si>
  <si>
    <t>Decrease Text size clicked,1.381</t>
  </si>
  <si>
    <t>Cycle Color Blind Mode,0.718</t>
  </si>
  <si>
    <t>Cycle Color Blind Mode,0.527</t>
  </si>
  <si>
    <t>Cycle Color Blind Mode,0.534</t>
  </si>
  <si>
    <t>Cycle Color Blind Mode,0.474</t>
  </si>
  <si>
    <t>Bold/Unbold check clicked,1.439</t>
  </si>
  <si>
    <t>Bold/Unbold check clicked,0.811</t>
  </si>
  <si>
    <t>Back button from accessibility page,1.628</t>
  </si>
  <si>
    <t>Back button from profile page,1.851</t>
  </si>
  <si>
    <t>CALENDAR navigation button clicked,5.248</t>
  </si>
  <si>
    <t>Go Ahead in Calendar Date,2.153</t>
  </si>
  <si>
    <t>MAP navigation button clicked,6.097</t>
  </si>
  <si>
    <t>Zoom In,6.153</t>
  </si>
  <si>
    <t>Zoom In,0.647</t>
  </si>
  <si>
    <t>Map Controls Hidden Toggle,2.564</t>
  </si>
  <si>
    <t>Click on Shuttle Stop marker,1.392</t>
  </si>
  <si>
    <t>Show Shuttle full schedule,2.76</t>
  </si>
  <si>
    <t>Building suggestion clicked,13.764</t>
  </si>
  <si>
    <t>Bottom Card Go (Search route),3.41</t>
  </si>
  <si>
    <t>user 2 malik</t>
  </si>
  <si>
    <t>user 1 samira</t>
  </si>
  <si>
    <t>Search Bar Profile Button clicked,382.476</t>
  </si>
  <si>
    <t>Go to accessibility page click,4.704</t>
  </si>
  <si>
    <t>Increase Text size clicked,2.022</t>
  </si>
  <si>
    <t>Back button from accessibility page,3.029</t>
  </si>
  <si>
    <t>Go to accessibility page click,6.003</t>
  </si>
  <si>
    <t>Cycle Color Blind Mode,2.027</t>
  </si>
  <si>
    <t>Back button from accessibility page,2.088</t>
  </si>
  <si>
    <t>Back button from profile page,1.109</t>
  </si>
  <si>
    <t>Search Bar Query submit,4.279</t>
  </si>
  <si>
    <t>Search Bar Profile Button clicked,3.062</t>
  </si>
  <si>
    <t>Go to accessibility page click,1.588</t>
  </si>
  <si>
    <t>Cycle Color Blind Mode,1.646</t>
  </si>
  <si>
    <t>Cycle Color Blind Mode,2.772</t>
  </si>
  <si>
    <t>Cycle Color Blind Mode,1.877</t>
  </si>
  <si>
    <t>Bold/Unbold check clicked,5.01</t>
  </si>
  <si>
    <t>Bold/Unbold check clicked,4.555</t>
  </si>
  <si>
    <t>Back button from accessibility page,2.274</t>
  </si>
  <si>
    <t>Back button from profile page,1.132</t>
  </si>
  <si>
    <t>CALENDAR navigation button clicked,14.06</t>
  </si>
  <si>
    <t>Go Ahead in Calendar Date,6.617</t>
  </si>
  <si>
    <t>Set Calendar Date Daily,7.631</t>
  </si>
  <si>
    <t>App Start,32.628</t>
  </si>
  <si>
    <t>App Loaded,0.175</t>
  </si>
  <si>
    <t>Zoom In,10.596</t>
  </si>
  <si>
    <t>Zoom In,1.509</t>
  </si>
  <si>
    <t>Click on Shuttle Stop marker,3.345</t>
  </si>
  <si>
    <t>Show Shuttle full schedule,6.337</t>
  </si>
  <si>
    <t>Dismiss Shuttle Stop Info card,14.035</t>
  </si>
  <si>
    <t>bottom search button click,9.384</t>
  </si>
  <si>
    <t>Building suggestion clicked,18.894</t>
  </si>
  <si>
    <t>Bottom Card Go (Search route),6.193</t>
  </si>
  <si>
    <t>Show route steps,7.006</t>
  </si>
  <si>
    <t>Cancel route button click,2.774</t>
  </si>
  <si>
    <t>────────────────────────────────────────</t>
  </si>
  <si>
    <t>USER PROFILE</t>
  </si>
  <si>
    <t>Age Range: 50s</t>
  </si>
  <si>
    <t>Gender: Female</t>
  </si>
  <si>
    <t>Technical Expertise: Below average — not used to apps or tech</t>
  </si>
  <si>
    <t>Campus Familiarity: Never been to campus</t>
  </si>
  <si>
    <t>Accessibility Needs: None</t>
  </si>
  <si>
    <t>Satisfaction Score: 3/5</t>
  </si>
  <si>
    <t>Comments/Feedback: Does not understand the goal of the app when you open it.</t>
  </si>
  <si>
    <t>Age Range: 30</t>
  </si>
  <si>
    <t>Gender: Male</t>
  </si>
  <si>
    <t>Technical Expertise: Very tech-savvy</t>
  </si>
  <si>
    <t>Campus Familiarity: Been to SGW campus 3 times</t>
  </si>
  <si>
    <t>Satisfaction Score: 4.5/5</t>
  </si>
  <si>
    <t>Comments/Feedback: Not obvious to find the accessibility page — it feels hidden.</t>
  </si>
  <si>
    <t>App Loaded,0.012</t>
  </si>
  <si>
    <t>Map Controls Hidden Toggle,36.086</t>
  </si>
  <si>
    <t>Map Controls Visible Toggle,2.665</t>
  </si>
  <si>
    <t>Search Bar Profile Button clicked,5.511</t>
  </si>
  <si>
    <t>Go to accessibility page click,4.47</t>
  </si>
  <si>
    <t>Bold/Unbold check clicked,5.936</t>
  </si>
  <si>
    <t>Cycle Color Blind Mode,4.743</t>
  </si>
  <si>
    <t>Increase Text size clicked,4.467</t>
  </si>
  <si>
    <t>Back button from accessibility page,8.135</t>
  </si>
  <si>
    <t>Back button from profile page,1.498</t>
  </si>
  <si>
    <t>CALENDAR navigation button clicked,3.897</t>
  </si>
  <si>
    <t>Go Ahead in Calendar Date,4.184</t>
  </si>
  <si>
    <t>MAP navigation button clicked,12.226</t>
  </si>
  <si>
    <t>MAP navigation button clicked,0.572</t>
  </si>
  <si>
    <t>Click on Shuttle Stop marker,11.13</t>
  </si>
  <si>
    <t>Show Shuttle full schedule,3.544</t>
  </si>
  <si>
    <t>Dismiss Shuttle Stop Info card,6.915</t>
  </si>
  <si>
    <t>Zoom In,9.023</t>
  </si>
  <si>
    <t>Zoom In,0.26</t>
  </si>
  <si>
    <t>Building suggestion clicked,17.465</t>
  </si>
  <si>
    <t>Top Bar go click,6.005</t>
  </si>
  <si>
    <t>Age: 50</t>
  </si>
  <si>
    <t>Technical expertise: Average tech use</t>
  </si>
  <si>
    <t>Campus familiarity: No</t>
  </si>
  <si>
    <t>Satisfaction score: 9/10</t>
  </si>
  <si>
    <t>Comments: All pretty intuitive. Mentioned that she has never used accessibility settings so did not know where to find it.</t>
  </si>
  <si>
    <t>Initially thought the map moving buttons were the accessibility settings. Later mentioned that it made sense to be in user because its personal to the user.</t>
  </si>
  <si>
    <t>User 3  To-Nhu-Nguyen</t>
  </si>
  <si>
    <t>User 4  Thien-Son-Mac</t>
  </si>
  <si>
    <t>App Loaded,2.193</t>
  </si>
  <si>
    <t>Search Bar Profile Button clicked,39.598</t>
  </si>
  <si>
    <t>Go to accessibility page click,5.344</t>
  </si>
  <si>
    <t>Bold/Unbold check clicked,7.18</t>
  </si>
  <si>
    <t>Cycle Color Blind Mode,9.368</t>
  </si>
  <si>
    <t>Increase Text size clicked,3.994</t>
  </si>
  <si>
    <t>Back button from accessibility page,3.71</t>
  </si>
  <si>
    <t>Back button from profile page,2.883</t>
  </si>
  <si>
    <t>CALENDAR navigation button clicked,8.072</t>
  </si>
  <si>
    <t>Go Ahead in Calendar Date,5.087</t>
  </si>
  <si>
    <t>MAP navigation button clicked,10.579</t>
  </si>
  <si>
    <t>Zoom In,16.979</t>
  </si>
  <si>
    <t>Zoom In,8.125</t>
  </si>
  <si>
    <t>Click on Shuttle Stop marker,7.04</t>
  </si>
  <si>
    <t>Click on Shuttle Stop marker,3.023</t>
  </si>
  <si>
    <t>Show Shuttle full schedule,5.627</t>
  </si>
  <si>
    <t>Dismiss Shuttle Stop Info card,17.312</t>
  </si>
  <si>
    <t>Building suggestion clicked,33.505</t>
  </si>
  <si>
    <t>Bottom Card Go (Search route),15.678</t>
  </si>
  <si>
    <t>Remove Route bar click,18.587</t>
  </si>
  <si>
    <t>Technical expertise: tech savvy</t>
  </si>
  <si>
    <t>Campus familiarity: familiar</t>
  </si>
  <si>
    <t>Accessibility needs: needed bigger text for text visibility</t>
  </si>
  <si>
    <t>Satisfaction: 9/10</t>
  </si>
  <si>
    <t>comments: would be better if accessibility settings were found in the settings wheel icon and not the user icon</t>
  </si>
  <si>
    <t>Could not read the shuttle icon text because it was too small. Did not think to go and increase text size more because he knew where the shuttles were on the campus</t>
  </si>
  <si>
    <t>Map UI is clean, he likes the clear overlays for the building</t>
  </si>
  <si>
    <t>User 5 Anh-Thi-Mac</t>
  </si>
  <si>
    <t>App Loaded,0.02</t>
  </si>
  <si>
    <t>Search Bar Profile Button clicked,14.473</t>
  </si>
  <si>
    <t>Go to accessibility page click,2.158</t>
  </si>
  <si>
    <t>Bold/Unbold check clicked,4.209</t>
  </si>
  <si>
    <t>Cycle Color Blind Mode,4.7</t>
  </si>
  <si>
    <t>Increase Text size clicked,4.209</t>
  </si>
  <si>
    <t>Back button from accessibility page,3.239</t>
  </si>
  <si>
    <t>Back button from profile page,1.448</t>
  </si>
  <si>
    <t>CALENDAR navigation button clicked,2.886</t>
  </si>
  <si>
    <t>Go Ahead in Calendar Date,3.307</t>
  </si>
  <si>
    <t>Set Calendar Date Daily,2.737</t>
  </si>
  <si>
    <t>Search Bar Query submit,7.997</t>
  </si>
  <si>
    <t>Campus Toggle LOYOLA,4.732</t>
  </si>
  <si>
    <t>Campus Toggle SGW,1.907</t>
  </si>
  <si>
    <t>Campus Toggle LOYOLA,1.523</t>
  </si>
  <si>
    <t>CALENDAR navigation button clicked,2.365</t>
  </si>
  <si>
    <t>Go Ahead in Calendar Date,2.937</t>
  </si>
  <si>
    <t>Set Calendar Date Daily,1.066</t>
  </si>
  <si>
    <t>Set Calendar Date Daily,0.811</t>
  </si>
  <si>
    <t>Set Calendar Date Daily,0.159</t>
  </si>
  <si>
    <t>Set Calendar Date Weekly,1.908</t>
  </si>
  <si>
    <t>Set Calendar Date Daily,0.82</t>
  </si>
  <si>
    <t>POI navigation button clicked,2.443</t>
  </si>
  <si>
    <t>MAP navigation button clicked,1.549</t>
  </si>
  <si>
    <t>CALENDAR navigation button clicked,2.283</t>
  </si>
  <si>
    <t>MAP navigation button clicked,1.199</t>
  </si>
  <si>
    <t>Click on Shuttle Stop marker,5.07</t>
  </si>
  <si>
    <t>Show Shuttle full schedule,4.735</t>
  </si>
  <si>
    <t>Dismiss Shuttle Stop Info card,11.423</t>
  </si>
  <si>
    <t>Building suggestion clicked,7.291</t>
  </si>
  <si>
    <t>Bottom Card Go (Search route),3.075</t>
  </si>
  <si>
    <t>Age: 25</t>
  </si>
  <si>
    <t>Technical expertise: familiar but not savvy</t>
  </si>
  <si>
    <t>Campus familiarity: visitor (has been 1-2 times)</t>
  </si>
  <si>
    <t>Accessibility needs: none</t>
  </si>
  <si>
    <t>Satisfaction score: 8/10</t>
  </si>
  <si>
    <t>Comments: as someone not familiar with the campus, she did not really understand where to find the shuttle and just pressed around all pages until she saw it</t>
  </si>
  <si>
    <t>Would like accessibility settings to be somewhere else with a setting icon but found it easily since there were no other options that could have it</t>
  </si>
  <si>
    <t xml:space="preserve">User 6 Tamar Oughourlian </t>
  </si>
  <si>
    <t>App Loaded,0.091</t>
  </si>
  <si>
    <t>Search Bar Profile Button clicked,39.13</t>
  </si>
  <si>
    <t>Go to accessibility page click,1.898</t>
  </si>
  <si>
    <t>Increase Text size clicked,4.984</t>
  </si>
  <si>
    <t>Cycle Color Blind Mode,6.244</t>
  </si>
  <si>
    <t>Bold/Unbold check clicked,1.132</t>
  </si>
  <si>
    <t>Back button from accessibility page,1.61</t>
  </si>
  <si>
    <t>Back button from profile page,0.922</t>
  </si>
  <si>
    <t>CALENDAR navigation button clicked,10.053</t>
  </si>
  <si>
    <t>Go Ahead in Calendar Date,1.396</t>
  </si>
  <si>
    <t>MAP navigation button clicked,15.365</t>
  </si>
  <si>
    <t>Click on Shuttle Stop marker,3.712</t>
  </si>
  <si>
    <t>Show Shuttle full schedule,2.726</t>
  </si>
  <si>
    <t>Dismiss Shuttle Stop Info card,14.874</t>
  </si>
  <si>
    <t>Building suggestion clicked,11.734</t>
  </si>
  <si>
    <t>Bottom Card Go (Search route),4.821</t>
  </si>
  <si>
    <t>Easy to use and pretty intuitive. Liked how simple it was to use. The use of icons helps guide them through the tasks.</t>
  </si>
  <si>
    <t>Score 4/5. The general theme and aesthetic seems a bit bland but everything works great and it's easy to follow.</t>
  </si>
  <si>
    <t>30 year old female with average tech knowledge. Familiar with Concordia SGW campus, no accessibility needs.</t>
  </si>
  <si>
    <t>User 7 Ahmed Gasser</t>
  </si>
  <si>
    <t>App Loaded,0.056</t>
  </si>
  <si>
    <t>Search Bar Profile Button clicked,11.303</t>
  </si>
  <si>
    <t>Go to accessibility page click,1.198</t>
  </si>
  <si>
    <t>Bold/Unbold check clicked,7.818</t>
  </si>
  <si>
    <t>Cycle Color Blind Mode,3.092</t>
  </si>
  <si>
    <t>Cycle Color Blind Mode,0.395</t>
  </si>
  <si>
    <t>Cycle Color Blind Mode,0.91</t>
  </si>
  <si>
    <t>Cycle Color Blind Mode,0.582</t>
  </si>
  <si>
    <t>Cycle Color Blind Mode,0.571</t>
  </si>
  <si>
    <t>Increase Text size clicked,4.536</t>
  </si>
  <si>
    <t>Back button from accessibility page,2.079</t>
  </si>
  <si>
    <t>Back button from profile page,4.613</t>
  </si>
  <si>
    <t>CALENDAR navigation button clicked,2.028</t>
  </si>
  <si>
    <t>Go Ahead in Calendar Date,1.628</t>
  </si>
  <si>
    <t>Set Calendar Date Daily,8.969</t>
  </si>
  <si>
    <t>POI navigation button clicked,11.582</t>
  </si>
  <si>
    <t>MAP navigation button clicked,1.783</t>
  </si>
  <si>
    <t>Click on Shuttle Stop marker,8.316</t>
  </si>
  <si>
    <t>Show Shuttle full schedule,2.365</t>
  </si>
  <si>
    <t>Dismiss Shuttle Stop Info card,10.038</t>
  </si>
  <si>
    <t>Zoom In,3.942</t>
  </si>
  <si>
    <t>Zoom In,0.651</t>
  </si>
  <si>
    <t>Building suggestion clicked,12.058</t>
  </si>
  <si>
    <t>Top Bar go click,5.164</t>
  </si>
  <si>
    <t>Color scheme/Theme is rather uncomfortable. WOuldnt want to stay the in the app for too long. Doesnt like the aesthetic and would probably like a dark theme better.</t>
  </si>
  <si>
    <t>User flow was nice, felt comfortable and usual. Follows regular apps style and placement.</t>
  </si>
  <si>
    <t>score satisfaction 4.8/5 deducted 0.2 points for aesthetic choice. Liked the colorblind cycle as it felt intuitive and fast.</t>
  </si>
  <si>
    <t>25 years old male tech saavy. Familiar with concordia SGW campus, no accessibility needs.</t>
  </si>
  <si>
    <t>---------------------------------------</t>
  </si>
  <si>
    <t>|</t>
  </si>
  <si>
    <t>|-------------------------------------------</t>
  </si>
  <si>
    <t xml:space="preserve">FORMULA USED TO GET THE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</si>
</sst>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01B24-509F-4861-B751-98B5BB0E3473}">
  <dimension ref="A1:L297"/>
  <sheetViews>
    <sheetView tabSelected="1" topLeftCell="A280" zoomScaleNormal="100" workbookViewId="0">
      <selection activeCell="I290" sqref="I290"/>
    </sheetView>
  </sheetViews>
  <sheetFormatPr defaultRowHeight="14.4" x14ac:dyDescent="0.3"/>
  <cols>
    <col min="1" max="1" width="80.109375" customWidth="1"/>
  </cols>
  <sheetData>
    <row r="1" spans="1:3" x14ac:dyDescent="0.3">
      <c r="A1" t="s">
        <v>30</v>
      </c>
    </row>
    <row r="3" spans="1:3" x14ac:dyDescent="0.3">
      <c r="A3" t="s">
        <v>31</v>
      </c>
      <c r="C3" t="str">
        <f>CONCATENATE("Samira",",",A3)</f>
        <v>Samira,Search Bar Profile Button clicked,382.476</v>
      </c>
    </row>
    <row r="4" spans="1:3" x14ac:dyDescent="0.3">
      <c r="A4" t="s">
        <v>32</v>
      </c>
      <c r="C4" t="str">
        <f t="shared" ref="C4:C35" si="0">CONCATENATE("Samira",",",A4)</f>
        <v>Samira,Go to accessibility page click,4.704</v>
      </c>
    </row>
    <row r="5" spans="1:3" x14ac:dyDescent="0.3">
      <c r="A5" t="s">
        <v>33</v>
      </c>
      <c r="C5" t="str">
        <f t="shared" si="0"/>
        <v>Samira,Increase Text size clicked,2.022</v>
      </c>
    </row>
    <row r="6" spans="1:3" x14ac:dyDescent="0.3">
      <c r="A6" t="s">
        <v>34</v>
      </c>
      <c r="C6" t="str">
        <f t="shared" si="0"/>
        <v>Samira,Back button from accessibility page,3.029</v>
      </c>
    </row>
    <row r="7" spans="1:3" x14ac:dyDescent="0.3">
      <c r="A7" t="s">
        <v>35</v>
      </c>
      <c r="C7" t="str">
        <f t="shared" si="0"/>
        <v>Samira,Go to accessibility page click,6.003</v>
      </c>
    </row>
    <row r="8" spans="1:3" x14ac:dyDescent="0.3">
      <c r="A8" t="s">
        <v>36</v>
      </c>
      <c r="C8" t="str">
        <f t="shared" si="0"/>
        <v>Samira,Cycle Color Blind Mode,2.027</v>
      </c>
    </row>
    <row r="9" spans="1:3" x14ac:dyDescent="0.3">
      <c r="A9" t="s">
        <v>37</v>
      </c>
      <c r="C9" t="str">
        <f t="shared" si="0"/>
        <v>Samira,Back button from accessibility page,2.088</v>
      </c>
    </row>
    <row r="10" spans="1:3" x14ac:dyDescent="0.3">
      <c r="A10" t="s">
        <v>38</v>
      </c>
      <c r="C10" t="str">
        <f t="shared" si="0"/>
        <v>Samira,Back button from profile page,1.109</v>
      </c>
    </row>
    <row r="11" spans="1:3" x14ac:dyDescent="0.3">
      <c r="A11" t="s">
        <v>39</v>
      </c>
      <c r="C11" t="str">
        <f t="shared" si="0"/>
        <v>Samira,Search Bar Query submit,4.279</v>
      </c>
    </row>
    <row r="12" spans="1:3" x14ac:dyDescent="0.3">
      <c r="A12" t="s">
        <v>40</v>
      </c>
      <c r="C12" t="str">
        <f t="shared" si="0"/>
        <v>Samira,Search Bar Profile Button clicked,3.062</v>
      </c>
    </row>
    <row r="13" spans="1:3" x14ac:dyDescent="0.3">
      <c r="A13" t="s">
        <v>41</v>
      </c>
      <c r="C13" t="str">
        <f t="shared" si="0"/>
        <v>Samira,Go to accessibility page click,1.588</v>
      </c>
    </row>
    <row r="14" spans="1:3" x14ac:dyDescent="0.3">
      <c r="A14" t="s">
        <v>42</v>
      </c>
      <c r="C14" t="str">
        <f t="shared" si="0"/>
        <v>Samira,Cycle Color Blind Mode,1.646</v>
      </c>
    </row>
    <row r="15" spans="1:3" x14ac:dyDescent="0.3">
      <c r="A15" t="s">
        <v>43</v>
      </c>
      <c r="C15" t="str">
        <f t="shared" si="0"/>
        <v>Samira,Cycle Color Blind Mode,2.772</v>
      </c>
    </row>
    <row r="16" spans="1:3" x14ac:dyDescent="0.3">
      <c r="A16" t="s">
        <v>44</v>
      </c>
      <c r="C16" t="str">
        <f t="shared" si="0"/>
        <v>Samira,Cycle Color Blind Mode,1.877</v>
      </c>
    </row>
    <row r="17" spans="1:3" x14ac:dyDescent="0.3">
      <c r="A17" t="s">
        <v>45</v>
      </c>
      <c r="C17" t="str">
        <f t="shared" si="0"/>
        <v>Samira,Bold/Unbold check clicked,5.01</v>
      </c>
    </row>
    <row r="18" spans="1:3" x14ac:dyDescent="0.3">
      <c r="A18" t="s">
        <v>46</v>
      </c>
      <c r="C18" t="str">
        <f t="shared" si="0"/>
        <v>Samira,Bold/Unbold check clicked,4.555</v>
      </c>
    </row>
    <row r="19" spans="1:3" x14ac:dyDescent="0.3">
      <c r="A19" t="s">
        <v>47</v>
      </c>
      <c r="C19" t="str">
        <f t="shared" si="0"/>
        <v>Samira,Back button from accessibility page,2.274</v>
      </c>
    </row>
    <row r="20" spans="1:3" x14ac:dyDescent="0.3">
      <c r="A20" t="s">
        <v>48</v>
      </c>
      <c r="C20" t="str">
        <f t="shared" si="0"/>
        <v>Samira,Back button from profile page,1.132</v>
      </c>
    </row>
    <row r="21" spans="1:3" x14ac:dyDescent="0.3">
      <c r="A21" t="s">
        <v>49</v>
      </c>
      <c r="C21" t="str">
        <f t="shared" si="0"/>
        <v>Samira,CALENDAR navigation button clicked,14.06</v>
      </c>
    </row>
    <row r="22" spans="1:3" x14ac:dyDescent="0.3">
      <c r="A22" t="s">
        <v>50</v>
      </c>
      <c r="C22" t="str">
        <f t="shared" si="0"/>
        <v>Samira,Go Ahead in Calendar Date,6.617</v>
      </c>
    </row>
    <row r="23" spans="1:3" x14ac:dyDescent="0.3">
      <c r="A23" t="s">
        <v>51</v>
      </c>
      <c r="C23" t="str">
        <f t="shared" si="0"/>
        <v>Samira,Set Calendar Date Daily,7.631</v>
      </c>
    </row>
    <row r="24" spans="1:3" x14ac:dyDescent="0.3">
      <c r="A24" t="s">
        <v>52</v>
      </c>
      <c r="C24" t="str">
        <f t="shared" si="0"/>
        <v>Samira,App Start,32.628</v>
      </c>
    </row>
    <row r="25" spans="1:3" x14ac:dyDescent="0.3">
      <c r="A25" t="s">
        <v>53</v>
      </c>
      <c r="C25" t="str">
        <f t="shared" si="0"/>
        <v>Samira,App Loaded,0.175</v>
      </c>
    </row>
    <row r="26" spans="1:3" x14ac:dyDescent="0.3">
      <c r="A26" t="s">
        <v>54</v>
      </c>
      <c r="C26" t="str">
        <f t="shared" si="0"/>
        <v>Samira,Zoom In,10.596</v>
      </c>
    </row>
    <row r="27" spans="1:3" x14ac:dyDescent="0.3">
      <c r="A27" t="s">
        <v>55</v>
      </c>
      <c r="C27" t="str">
        <f t="shared" si="0"/>
        <v>Samira,Zoom In,1.509</v>
      </c>
    </row>
    <row r="28" spans="1:3" x14ac:dyDescent="0.3">
      <c r="A28" t="s">
        <v>56</v>
      </c>
      <c r="C28" t="str">
        <f t="shared" si="0"/>
        <v>Samira,Click on Shuttle Stop marker,3.345</v>
      </c>
    </row>
    <row r="29" spans="1:3" x14ac:dyDescent="0.3">
      <c r="A29" t="s">
        <v>57</v>
      </c>
      <c r="C29" t="str">
        <f t="shared" si="0"/>
        <v>Samira,Show Shuttle full schedule,6.337</v>
      </c>
    </row>
    <row r="30" spans="1:3" x14ac:dyDescent="0.3">
      <c r="A30" t="s">
        <v>58</v>
      </c>
      <c r="C30" t="str">
        <f t="shared" si="0"/>
        <v>Samira,Dismiss Shuttle Stop Info card,14.035</v>
      </c>
    </row>
    <row r="31" spans="1:3" x14ac:dyDescent="0.3">
      <c r="A31" t="s">
        <v>59</v>
      </c>
      <c r="C31" t="str">
        <f t="shared" si="0"/>
        <v>Samira,bottom search button click,9.384</v>
      </c>
    </row>
    <row r="32" spans="1:3" x14ac:dyDescent="0.3">
      <c r="A32" t="s">
        <v>60</v>
      </c>
      <c r="C32" t="str">
        <f t="shared" si="0"/>
        <v>Samira,Building suggestion clicked,18.894</v>
      </c>
    </row>
    <row r="33" spans="1:3" x14ac:dyDescent="0.3">
      <c r="A33" t="s">
        <v>61</v>
      </c>
      <c r="C33" t="str">
        <f t="shared" si="0"/>
        <v>Samira,Bottom Card Go (Search route),6.193</v>
      </c>
    </row>
    <row r="34" spans="1:3" x14ac:dyDescent="0.3">
      <c r="A34" t="s">
        <v>62</v>
      </c>
      <c r="C34" t="str">
        <f t="shared" si="0"/>
        <v>Samira,Show route steps,7.006</v>
      </c>
    </row>
    <row r="35" spans="1:3" x14ac:dyDescent="0.3">
      <c r="A35" t="s">
        <v>63</v>
      </c>
      <c r="C35" t="str">
        <f t="shared" si="0"/>
        <v>Samira,Cancel route button click,2.774</v>
      </c>
    </row>
    <row r="37" spans="1:3" x14ac:dyDescent="0.3">
      <c r="A37" t="s">
        <v>64</v>
      </c>
    </row>
    <row r="38" spans="1:3" x14ac:dyDescent="0.3">
      <c r="A38" t="s">
        <v>65</v>
      </c>
    </row>
    <row r="39" spans="1:3" x14ac:dyDescent="0.3">
      <c r="A39" t="s">
        <v>64</v>
      </c>
    </row>
    <row r="40" spans="1:3" x14ac:dyDescent="0.3">
      <c r="A40" t="s">
        <v>66</v>
      </c>
    </row>
    <row r="41" spans="1:3" x14ac:dyDescent="0.3">
      <c r="A41" t="s">
        <v>67</v>
      </c>
    </row>
    <row r="42" spans="1:3" x14ac:dyDescent="0.3">
      <c r="A42" t="s">
        <v>68</v>
      </c>
    </row>
    <row r="43" spans="1:3" x14ac:dyDescent="0.3">
      <c r="A43" t="s">
        <v>69</v>
      </c>
    </row>
    <row r="44" spans="1:3" x14ac:dyDescent="0.3">
      <c r="A44" t="s">
        <v>70</v>
      </c>
    </row>
    <row r="45" spans="1:3" x14ac:dyDescent="0.3">
      <c r="A45" t="s">
        <v>71</v>
      </c>
    </row>
    <row r="46" spans="1:3" x14ac:dyDescent="0.3">
      <c r="A46" t="s">
        <v>72</v>
      </c>
    </row>
    <row r="51" spans="1:3" x14ac:dyDescent="0.3">
      <c r="A51" t="s">
        <v>29</v>
      </c>
    </row>
    <row r="53" spans="1:3" x14ac:dyDescent="0.3">
      <c r="A53" t="s">
        <v>0</v>
      </c>
      <c r="C53" t="str">
        <f>CONCATENATE("Malik", ",",A53)</f>
        <v>Malik,MAP navigation button clicked,1.352</v>
      </c>
    </row>
    <row r="54" spans="1:3" x14ac:dyDescent="0.3">
      <c r="A54" t="s">
        <v>1</v>
      </c>
      <c r="C54" t="str">
        <f t="shared" ref="C54:C117" si="1">CONCATENATE("Malik", ",",A54)</f>
        <v>Malik,Map Controls Hidden Toggle,2.906</v>
      </c>
    </row>
    <row r="55" spans="1:3" x14ac:dyDescent="0.3">
      <c r="A55" t="s">
        <v>2</v>
      </c>
      <c r="C55" t="str">
        <f t="shared" si="1"/>
        <v>Malik,Search Bar Query submit,6.839</v>
      </c>
    </row>
    <row r="56" spans="1:3" x14ac:dyDescent="0.3">
      <c r="A56" t="s">
        <v>3</v>
      </c>
      <c r="C56" t="str">
        <f t="shared" si="1"/>
        <v>Malik,POI navigation button clicked,6.028</v>
      </c>
    </row>
    <row r="57" spans="1:3" x14ac:dyDescent="0.3">
      <c r="A57" t="s">
        <v>4</v>
      </c>
      <c r="C57" t="str">
        <f t="shared" si="1"/>
        <v>Malik,MAP navigation button clicked,1.234</v>
      </c>
    </row>
    <row r="58" spans="1:3" x14ac:dyDescent="0.3">
      <c r="A58" t="s">
        <v>5</v>
      </c>
      <c r="C58" t="str">
        <f t="shared" si="1"/>
        <v>Malik,Map Controls Hidden Toggle,3.474</v>
      </c>
    </row>
    <row r="59" spans="1:3" x14ac:dyDescent="0.3">
      <c r="A59" t="s">
        <v>6</v>
      </c>
      <c r="C59" t="str">
        <f t="shared" si="1"/>
        <v>Malik,Search Bar Profile Button clicked,9.374</v>
      </c>
    </row>
    <row r="60" spans="1:3" x14ac:dyDescent="0.3">
      <c r="A60" t="s">
        <v>7</v>
      </c>
      <c r="C60" t="str">
        <f t="shared" si="1"/>
        <v>Malik,Attempted profile button from profile page,1.816</v>
      </c>
    </row>
    <row r="61" spans="1:3" x14ac:dyDescent="0.3">
      <c r="A61" t="s">
        <v>8</v>
      </c>
      <c r="C61" t="str">
        <f t="shared" si="1"/>
        <v>Malik,Go to accessibility page click,0.931</v>
      </c>
    </row>
    <row r="62" spans="1:3" x14ac:dyDescent="0.3">
      <c r="A62" t="s">
        <v>9</v>
      </c>
      <c r="C62" t="str">
        <f t="shared" si="1"/>
        <v>Malik,Increase Text size clicked,1.679</v>
      </c>
    </row>
    <row r="63" spans="1:3" x14ac:dyDescent="0.3">
      <c r="A63" t="s">
        <v>10</v>
      </c>
      <c r="C63" t="str">
        <f t="shared" si="1"/>
        <v>Malik,Decrease Text size clicked,1.381</v>
      </c>
    </row>
    <row r="64" spans="1:3" x14ac:dyDescent="0.3">
      <c r="A64" t="s">
        <v>11</v>
      </c>
      <c r="C64" t="str">
        <f t="shared" si="1"/>
        <v>Malik,Cycle Color Blind Mode,0.718</v>
      </c>
    </row>
    <row r="65" spans="1:3" x14ac:dyDescent="0.3">
      <c r="A65" t="s">
        <v>12</v>
      </c>
      <c r="C65" t="str">
        <f t="shared" si="1"/>
        <v>Malik,Cycle Color Blind Mode,0.527</v>
      </c>
    </row>
    <row r="66" spans="1:3" x14ac:dyDescent="0.3">
      <c r="A66" t="s">
        <v>13</v>
      </c>
      <c r="C66" t="str">
        <f t="shared" si="1"/>
        <v>Malik,Cycle Color Blind Mode,0.534</v>
      </c>
    </row>
    <row r="67" spans="1:3" x14ac:dyDescent="0.3">
      <c r="A67" t="s">
        <v>14</v>
      </c>
      <c r="C67" t="str">
        <f t="shared" si="1"/>
        <v>Malik,Cycle Color Blind Mode,0.474</v>
      </c>
    </row>
    <row r="68" spans="1:3" x14ac:dyDescent="0.3">
      <c r="A68" t="s">
        <v>15</v>
      </c>
      <c r="C68" t="str">
        <f t="shared" si="1"/>
        <v>Malik,Bold/Unbold check clicked,1.439</v>
      </c>
    </row>
    <row r="69" spans="1:3" x14ac:dyDescent="0.3">
      <c r="A69" t="s">
        <v>16</v>
      </c>
      <c r="C69" t="str">
        <f t="shared" si="1"/>
        <v>Malik,Bold/Unbold check clicked,0.811</v>
      </c>
    </row>
    <row r="70" spans="1:3" x14ac:dyDescent="0.3">
      <c r="A70" t="s">
        <v>17</v>
      </c>
      <c r="C70" t="str">
        <f t="shared" si="1"/>
        <v>Malik,Back button from accessibility page,1.628</v>
      </c>
    </row>
    <row r="71" spans="1:3" x14ac:dyDescent="0.3">
      <c r="A71" t="s">
        <v>18</v>
      </c>
      <c r="C71" t="str">
        <f t="shared" si="1"/>
        <v>Malik,Back button from profile page,1.851</v>
      </c>
    </row>
    <row r="72" spans="1:3" x14ac:dyDescent="0.3">
      <c r="A72" t="s">
        <v>19</v>
      </c>
      <c r="C72" t="str">
        <f t="shared" si="1"/>
        <v>Malik,CALENDAR navigation button clicked,5.248</v>
      </c>
    </row>
    <row r="73" spans="1:3" x14ac:dyDescent="0.3">
      <c r="A73" t="s">
        <v>20</v>
      </c>
      <c r="C73" t="str">
        <f t="shared" si="1"/>
        <v>Malik,Go Ahead in Calendar Date,2.153</v>
      </c>
    </row>
    <row r="74" spans="1:3" x14ac:dyDescent="0.3">
      <c r="A74" t="s">
        <v>21</v>
      </c>
      <c r="C74" t="str">
        <f t="shared" si="1"/>
        <v>Malik,MAP navigation button clicked,6.097</v>
      </c>
    </row>
    <row r="75" spans="1:3" x14ac:dyDescent="0.3">
      <c r="A75" t="s">
        <v>22</v>
      </c>
      <c r="C75" t="str">
        <f t="shared" si="1"/>
        <v>Malik,Zoom In,6.153</v>
      </c>
    </row>
    <row r="76" spans="1:3" x14ac:dyDescent="0.3">
      <c r="A76" t="s">
        <v>23</v>
      </c>
      <c r="C76" t="str">
        <f t="shared" si="1"/>
        <v>Malik,Zoom In,0.647</v>
      </c>
    </row>
    <row r="77" spans="1:3" x14ac:dyDescent="0.3">
      <c r="A77" t="s">
        <v>24</v>
      </c>
      <c r="C77" t="str">
        <f t="shared" si="1"/>
        <v>Malik,Map Controls Hidden Toggle,2.564</v>
      </c>
    </row>
    <row r="78" spans="1:3" x14ac:dyDescent="0.3">
      <c r="A78" t="s">
        <v>25</v>
      </c>
      <c r="C78" t="str">
        <f t="shared" si="1"/>
        <v>Malik,Click on Shuttle Stop marker,1.392</v>
      </c>
    </row>
    <row r="79" spans="1:3" x14ac:dyDescent="0.3">
      <c r="A79" t="s">
        <v>26</v>
      </c>
      <c r="C79" t="str">
        <f t="shared" si="1"/>
        <v>Malik,Show Shuttle full schedule,2.76</v>
      </c>
    </row>
    <row r="80" spans="1:3" x14ac:dyDescent="0.3">
      <c r="A80" t="s">
        <v>27</v>
      </c>
      <c r="C80" t="str">
        <f t="shared" si="1"/>
        <v>Malik,Building suggestion clicked,13.764</v>
      </c>
    </row>
    <row r="81" spans="1:1" x14ac:dyDescent="0.3">
      <c r="A81" t="s">
        <v>28</v>
      </c>
    </row>
    <row r="83" spans="1:1" x14ac:dyDescent="0.3">
      <c r="A83" t="s">
        <v>64</v>
      </c>
    </row>
    <row r="84" spans="1:1" x14ac:dyDescent="0.3">
      <c r="A84" t="s">
        <v>65</v>
      </c>
    </row>
    <row r="85" spans="1:1" x14ac:dyDescent="0.3">
      <c r="A85" t="s">
        <v>64</v>
      </c>
    </row>
    <row r="86" spans="1:1" x14ac:dyDescent="0.3">
      <c r="A86" t="s">
        <v>73</v>
      </c>
    </row>
    <row r="87" spans="1:1" x14ac:dyDescent="0.3">
      <c r="A87" t="s">
        <v>74</v>
      </c>
    </row>
    <row r="88" spans="1:1" x14ac:dyDescent="0.3">
      <c r="A88" t="s">
        <v>75</v>
      </c>
    </row>
    <row r="89" spans="1:1" x14ac:dyDescent="0.3">
      <c r="A89" t="s">
        <v>76</v>
      </c>
    </row>
    <row r="90" spans="1:1" x14ac:dyDescent="0.3">
      <c r="A90" t="s">
        <v>70</v>
      </c>
    </row>
    <row r="91" spans="1:1" x14ac:dyDescent="0.3">
      <c r="A91" t="s">
        <v>77</v>
      </c>
    </row>
    <row r="92" spans="1:1" x14ac:dyDescent="0.3">
      <c r="A92" t="s">
        <v>78</v>
      </c>
    </row>
    <row r="96" spans="1:1" x14ac:dyDescent="0.3">
      <c r="A96" t="s">
        <v>106</v>
      </c>
    </row>
    <row r="98" spans="1:3" x14ac:dyDescent="0.3">
      <c r="A98" t="s">
        <v>79</v>
      </c>
      <c r="C98" t="str">
        <f>CONCATENATE("Nhu-Nguyen", ",",A98)</f>
        <v>Nhu-Nguyen,App Loaded,0.012</v>
      </c>
    </row>
    <row r="99" spans="1:3" x14ac:dyDescent="0.3">
      <c r="A99" t="s">
        <v>80</v>
      </c>
      <c r="C99" t="str">
        <f t="shared" ref="C99:C118" si="2">CONCATENATE("Nhu-Nguyen", ",",A99)</f>
        <v>Nhu-Nguyen,Map Controls Hidden Toggle,36.086</v>
      </c>
    </row>
    <row r="100" spans="1:3" x14ac:dyDescent="0.3">
      <c r="A100" t="s">
        <v>81</v>
      </c>
      <c r="C100" t="str">
        <f t="shared" si="2"/>
        <v>Nhu-Nguyen,Map Controls Visible Toggle,2.665</v>
      </c>
    </row>
    <row r="101" spans="1:3" x14ac:dyDescent="0.3">
      <c r="A101" t="s">
        <v>82</v>
      </c>
      <c r="C101" t="str">
        <f t="shared" si="2"/>
        <v>Nhu-Nguyen,Search Bar Profile Button clicked,5.511</v>
      </c>
    </row>
    <row r="102" spans="1:3" x14ac:dyDescent="0.3">
      <c r="A102" t="s">
        <v>83</v>
      </c>
      <c r="C102" t="str">
        <f t="shared" si="2"/>
        <v>Nhu-Nguyen,Go to accessibility page click,4.47</v>
      </c>
    </row>
    <row r="103" spans="1:3" x14ac:dyDescent="0.3">
      <c r="A103" t="s">
        <v>84</v>
      </c>
      <c r="C103" t="str">
        <f t="shared" si="2"/>
        <v>Nhu-Nguyen,Bold/Unbold check clicked,5.936</v>
      </c>
    </row>
    <row r="104" spans="1:3" x14ac:dyDescent="0.3">
      <c r="A104" t="s">
        <v>85</v>
      </c>
      <c r="C104" t="str">
        <f t="shared" si="2"/>
        <v>Nhu-Nguyen,Cycle Color Blind Mode,4.743</v>
      </c>
    </row>
    <row r="105" spans="1:3" x14ac:dyDescent="0.3">
      <c r="A105" t="s">
        <v>86</v>
      </c>
      <c r="C105" t="str">
        <f t="shared" si="2"/>
        <v>Nhu-Nguyen,Increase Text size clicked,4.467</v>
      </c>
    </row>
    <row r="106" spans="1:3" x14ac:dyDescent="0.3">
      <c r="A106" t="s">
        <v>87</v>
      </c>
      <c r="C106" t="str">
        <f t="shared" si="2"/>
        <v>Nhu-Nguyen,Back button from accessibility page,8.135</v>
      </c>
    </row>
    <row r="107" spans="1:3" x14ac:dyDescent="0.3">
      <c r="A107" t="s">
        <v>88</v>
      </c>
      <c r="C107" t="str">
        <f t="shared" si="2"/>
        <v>Nhu-Nguyen,Back button from profile page,1.498</v>
      </c>
    </row>
    <row r="108" spans="1:3" x14ac:dyDescent="0.3">
      <c r="A108" t="s">
        <v>89</v>
      </c>
      <c r="C108" t="str">
        <f t="shared" si="2"/>
        <v>Nhu-Nguyen,CALENDAR navigation button clicked,3.897</v>
      </c>
    </row>
    <row r="109" spans="1:3" x14ac:dyDescent="0.3">
      <c r="A109" t="s">
        <v>90</v>
      </c>
      <c r="C109" t="str">
        <f t="shared" si="2"/>
        <v>Nhu-Nguyen,Go Ahead in Calendar Date,4.184</v>
      </c>
    </row>
    <row r="110" spans="1:3" x14ac:dyDescent="0.3">
      <c r="A110" t="s">
        <v>91</v>
      </c>
      <c r="C110" t="str">
        <f t="shared" si="2"/>
        <v>Nhu-Nguyen,MAP navigation button clicked,12.226</v>
      </c>
    </row>
    <row r="111" spans="1:3" x14ac:dyDescent="0.3">
      <c r="A111" t="s">
        <v>92</v>
      </c>
      <c r="C111" t="str">
        <f t="shared" si="2"/>
        <v>Nhu-Nguyen,MAP navigation button clicked,0.572</v>
      </c>
    </row>
    <row r="112" spans="1:3" x14ac:dyDescent="0.3">
      <c r="A112" t="s">
        <v>93</v>
      </c>
      <c r="C112" t="str">
        <f t="shared" si="2"/>
        <v>Nhu-Nguyen,Click on Shuttle Stop marker,11.13</v>
      </c>
    </row>
    <row r="113" spans="1:3" x14ac:dyDescent="0.3">
      <c r="A113" t="s">
        <v>94</v>
      </c>
      <c r="C113" t="str">
        <f t="shared" si="2"/>
        <v>Nhu-Nguyen,Show Shuttle full schedule,3.544</v>
      </c>
    </row>
    <row r="114" spans="1:3" x14ac:dyDescent="0.3">
      <c r="A114" t="s">
        <v>95</v>
      </c>
      <c r="C114" t="str">
        <f t="shared" si="2"/>
        <v>Nhu-Nguyen,Dismiss Shuttle Stop Info card,6.915</v>
      </c>
    </row>
    <row r="115" spans="1:3" x14ac:dyDescent="0.3">
      <c r="A115" t="s">
        <v>96</v>
      </c>
      <c r="C115" t="str">
        <f t="shared" si="2"/>
        <v>Nhu-Nguyen,Zoom In,9.023</v>
      </c>
    </row>
    <row r="116" spans="1:3" x14ac:dyDescent="0.3">
      <c r="A116" t="s">
        <v>97</v>
      </c>
      <c r="C116" t="str">
        <f t="shared" si="2"/>
        <v>Nhu-Nguyen,Zoom In,0.26</v>
      </c>
    </row>
    <row r="117" spans="1:3" x14ac:dyDescent="0.3">
      <c r="A117" t="s">
        <v>98</v>
      </c>
      <c r="C117" t="str">
        <f t="shared" si="2"/>
        <v>Nhu-Nguyen,Building suggestion clicked,17.465</v>
      </c>
    </row>
    <row r="118" spans="1:3" x14ac:dyDescent="0.3">
      <c r="A118" t="s">
        <v>99</v>
      </c>
      <c r="C118" t="str">
        <f t="shared" si="2"/>
        <v>Nhu-Nguyen,Top Bar go click,6.005</v>
      </c>
    </row>
    <row r="120" spans="1:3" x14ac:dyDescent="0.3">
      <c r="A120" t="s">
        <v>64</v>
      </c>
    </row>
    <row r="121" spans="1:3" x14ac:dyDescent="0.3">
      <c r="A121" t="s">
        <v>65</v>
      </c>
    </row>
    <row r="122" spans="1:3" x14ac:dyDescent="0.3">
      <c r="A122" t="s">
        <v>64</v>
      </c>
    </row>
    <row r="124" spans="1:3" x14ac:dyDescent="0.3">
      <c r="A124" t="s">
        <v>100</v>
      </c>
    </row>
    <row r="125" spans="1:3" x14ac:dyDescent="0.3">
      <c r="A125" t="s">
        <v>67</v>
      </c>
    </row>
    <row r="126" spans="1:3" x14ac:dyDescent="0.3">
      <c r="A126" t="s">
        <v>101</v>
      </c>
    </row>
    <row r="127" spans="1:3" x14ac:dyDescent="0.3">
      <c r="A127" t="s">
        <v>102</v>
      </c>
    </row>
    <row r="128" spans="1:3" x14ac:dyDescent="0.3">
      <c r="A128" t="s">
        <v>70</v>
      </c>
    </row>
    <row r="130" spans="1:3" x14ac:dyDescent="0.3">
      <c r="A130" t="s">
        <v>103</v>
      </c>
    </row>
    <row r="131" spans="1:3" x14ac:dyDescent="0.3">
      <c r="A131" t="s">
        <v>104</v>
      </c>
    </row>
    <row r="132" spans="1:3" x14ac:dyDescent="0.3">
      <c r="A132" t="s">
        <v>105</v>
      </c>
    </row>
    <row r="136" spans="1:3" x14ac:dyDescent="0.3">
      <c r="A136" t="s">
        <v>107</v>
      </c>
    </row>
    <row r="138" spans="1:3" x14ac:dyDescent="0.3">
      <c r="A138" t="s">
        <v>108</v>
      </c>
      <c r="C138" t="str">
        <f>CONCATENATE("Thein-Son-Mac", ",",A138)</f>
        <v>Thein-Son-Mac,App Loaded,2.193</v>
      </c>
    </row>
    <row r="139" spans="1:3" x14ac:dyDescent="0.3">
      <c r="A139" t="s">
        <v>109</v>
      </c>
      <c r="C139" t="str">
        <f t="shared" ref="C139:C167" si="3">CONCATENATE("Thein-Son-Mac", ",",A139)</f>
        <v>Thein-Son-Mac,Search Bar Profile Button clicked,39.598</v>
      </c>
    </row>
    <row r="140" spans="1:3" x14ac:dyDescent="0.3">
      <c r="A140" t="s">
        <v>110</v>
      </c>
      <c r="C140" t="str">
        <f t="shared" si="3"/>
        <v>Thein-Son-Mac,Go to accessibility page click,5.344</v>
      </c>
    </row>
    <row r="141" spans="1:3" x14ac:dyDescent="0.3">
      <c r="A141" t="s">
        <v>111</v>
      </c>
      <c r="C141" t="str">
        <f t="shared" si="3"/>
        <v>Thein-Son-Mac,Bold/Unbold check clicked,7.18</v>
      </c>
    </row>
    <row r="142" spans="1:3" x14ac:dyDescent="0.3">
      <c r="A142" t="s">
        <v>112</v>
      </c>
      <c r="C142" t="str">
        <f t="shared" si="3"/>
        <v>Thein-Son-Mac,Cycle Color Blind Mode,9.368</v>
      </c>
    </row>
    <row r="143" spans="1:3" x14ac:dyDescent="0.3">
      <c r="A143" t="s">
        <v>113</v>
      </c>
      <c r="C143" t="str">
        <f t="shared" si="3"/>
        <v>Thein-Son-Mac,Increase Text size clicked,3.994</v>
      </c>
    </row>
    <row r="144" spans="1:3" x14ac:dyDescent="0.3">
      <c r="A144" t="s">
        <v>114</v>
      </c>
      <c r="C144" t="str">
        <f t="shared" si="3"/>
        <v>Thein-Son-Mac,Back button from accessibility page,3.71</v>
      </c>
    </row>
    <row r="145" spans="1:3" x14ac:dyDescent="0.3">
      <c r="A145" t="s">
        <v>115</v>
      </c>
      <c r="C145" t="str">
        <f t="shared" si="3"/>
        <v>Thein-Son-Mac,Back button from profile page,2.883</v>
      </c>
    </row>
    <row r="146" spans="1:3" x14ac:dyDescent="0.3">
      <c r="A146" t="s">
        <v>116</v>
      </c>
      <c r="C146" t="str">
        <f t="shared" si="3"/>
        <v>Thein-Son-Mac,CALENDAR navigation button clicked,8.072</v>
      </c>
    </row>
    <row r="147" spans="1:3" x14ac:dyDescent="0.3">
      <c r="A147" t="s">
        <v>117</v>
      </c>
      <c r="C147" t="str">
        <f t="shared" si="3"/>
        <v>Thein-Son-Mac,Go Ahead in Calendar Date,5.087</v>
      </c>
    </row>
    <row r="148" spans="1:3" x14ac:dyDescent="0.3">
      <c r="A148" t="s">
        <v>118</v>
      </c>
      <c r="C148" t="str">
        <f t="shared" si="3"/>
        <v>Thein-Son-Mac,MAP navigation button clicked,10.579</v>
      </c>
    </row>
    <row r="149" spans="1:3" x14ac:dyDescent="0.3">
      <c r="A149" t="s">
        <v>119</v>
      </c>
      <c r="C149" t="str">
        <f t="shared" si="3"/>
        <v>Thein-Son-Mac,Zoom In,16.979</v>
      </c>
    </row>
    <row r="150" spans="1:3" x14ac:dyDescent="0.3">
      <c r="A150" t="s">
        <v>120</v>
      </c>
      <c r="C150" t="str">
        <f t="shared" si="3"/>
        <v>Thein-Son-Mac,Zoom In,8.125</v>
      </c>
    </row>
    <row r="151" spans="1:3" x14ac:dyDescent="0.3">
      <c r="A151" t="s">
        <v>121</v>
      </c>
      <c r="C151" t="str">
        <f t="shared" si="3"/>
        <v>Thein-Son-Mac,Click on Shuttle Stop marker,7.04</v>
      </c>
    </row>
    <row r="152" spans="1:3" x14ac:dyDescent="0.3">
      <c r="A152" t="s">
        <v>122</v>
      </c>
      <c r="C152" t="str">
        <f t="shared" si="3"/>
        <v>Thein-Son-Mac,Click on Shuttle Stop marker,3.023</v>
      </c>
    </row>
    <row r="153" spans="1:3" x14ac:dyDescent="0.3">
      <c r="A153" t="s">
        <v>123</v>
      </c>
      <c r="C153" t="str">
        <f t="shared" si="3"/>
        <v>Thein-Son-Mac,Show Shuttle full schedule,5.627</v>
      </c>
    </row>
    <row r="154" spans="1:3" x14ac:dyDescent="0.3">
      <c r="A154" t="s">
        <v>124</v>
      </c>
      <c r="C154" t="str">
        <f t="shared" si="3"/>
        <v>Thein-Son-Mac,Dismiss Shuttle Stop Info card,17.312</v>
      </c>
    </row>
    <row r="155" spans="1:3" x14ac:dyDescent="0.3">
      <c r="A155" t="s">
        <v>125</v>
      </c>
      <c r="C155" t="str">
        <f t="shared" si="3"/>
        <v>Thein-Son-Mac,Building suggestion clicked,33.505</v>
      </c>
    </row>
    <row r="156" spans="1:3" x14ac:dyDescent="0.3">
      <c r="A156" t="s">
        <v>126</v>
      </c>
      <c r="C156" t="str">
        <f t="shared" si="3"/>
        <v>Thein-Son-Mac,Bottom Card Go (Search route),15.678</v>
      </c>
    </row>
    <row r="157" spans="1:3" x14ac:dyDescent="0.3">
      <c r="A157" t="s">
        <v>127</v>
      </c>
      <c r="C157" t="str">
        <f t="shared" si="3"/>
        <v>Thein-Son-Mac,Remove Route bar click,18.587</v>
      </c>
    </row>
    <row r="158" spans="1:3" x14ac:dyDescent="0.3">
      <c r="C158" t="str">
        <f t="shared" si="3"/>
        <v>Thein-Son-Mac,</v>
      </c>
    </row>
    <row r="159" spans="1:3" x14ac:dyDescent="0.3">
      <c r="A159" t="s">
        <v>64</v>
      </c>
      <c r="C159" t="str">
        <f t="shared" si="3"/>
        <v>Thein-Son-Mac,────────────────────────────────────────</v>
      </c>
    </row>
    <row r="160" spans="1:3" x14ac:dyDescent="0.3">
      <c r="A160" t="s">
        <v>65</v>
      </c>
      <c r="C160" t="str">
        <f t="shared" si="3"/>
        <v>Thein-Son-Mac,USER PROFILE</v>
      </c>
    </row>
    <row r="161" spans="1:3" x14ac:dyDescent="0.3">
      <c r="A161" t="s">
        <v>64</v>
      </c>
      <c r="C161" t="str">
        <f t="shared" si="3"/>
        <v>Thein-Son-Mac,────────────────────────────────────────</v>
      </c>
    </row>
    <row r="162" spans="1:3" x14ac:dyDescent="0.3">
      <c r="C162" t="str">
        <f t="shared" si="3"/>
        <v>Thein-Son-Mac,</v>
      </c>
    </row>
    <row r="163" spans="1:3" x14ac:dyDescent="0.3">
      <c r="A163" t="s">
        <v>100</v>
      </c>
      <c r="C163" t="str">
        <f t="shared" si="3"/>
        <v>Thein-Son-Mac,Age: 50</v>
      </c>
    </row>
    <row r="164" spans="1:3" x14ac:dyDescent="0.3">
      <c r="A164" t="s">
        <v>74</v>
      </c>
      <c r="C164" t="str">
        <f t="shared" si="3"/>
        <v>Thein-Son-Mac,Gender: Male</v>
      </c>
    </row>
    <row r="165" spans="1:3" x14ac:dyDescent="0.3">
      <c r="A165" t="s">
        <v>128</v>
      </c>
      <c r="C165" t="str">
        <f t="shared" si="3"/>
        <v>Thein-Son-Mac,Technical expertise: tech savvy</v>
      </c>
    </row>
    <row r="166" spans="1:3" x14ac:dyDescent="0.3">
      <c r="A166" t="s">
        <v>129</v>
      </c>
      <c r="C166" t="str">
        <f t="shared" si="3"/>
        <v>Thein-Son-Mac,Campus familiarity: familiar</v>
      </c>
    </row>
    <row r="167" spans="1:3" x14ac:dyDescent="0.3">
      <c r="A167" t="s">
        <v>130</v>
      </c>
      <c r="C167" t="str">
        <f t="shared" si="3"/>
        <v>Thein-Son-Mac,Accessibility needs: needed bigger text for text visibility</v>
      </c>
    </row>
    <row r="169" spans="1:3" x14ac:dyDescent="0.3">
      <c r="A169" t="s">
        <v>131</v>
      </c>
    </row>
    <row r="170" spans="1:3" x14ac:dyDescent="0.3">
      <c r="A170" t="s">
        <v>132</v>
      </c>
    </row>
    <row r="171" spans="1:3" x14ac:dyDescent="0.3">
      <c r="A171" t="s">
        <v>133</v>
      </c>
    </row>
    <row r="172" spans="1:3" x14ac:dyDescent="0.3">
      <c r="A172" t="s">
        <v>134</v>
      </c>
    </row>
    <row r="175" spans="1:3" x14ac:dyDescent="0.3">
      <c r="A175" t="s">
        <v>135</v>
      </c>
    </row>
    <row r="179" spans="1:3" x14ac:dyDescent="0.3">
      <c r="A179" t="s">
        <v>136</v>
      </c>
      <c r="C179" t="str">
        <f>CONCATENATE("Anh-Thi-Mac", ",",A179)</f>
        <v>Anh-Thi-Mac,App Loaded,0.02</v>
      </c>
    </row>
    <row r="180" spans="1:3" x14ac:dyDescent="0.3">
      <c r="A180" t="s">
        <v>137</v>
      </c>
      <c r="C180" t="str">
        <f t="shared" ref="C180:C209" si="4">CONCATENATE("Anh-Thi-Mac", ",",A180)</f>
        <v>Anh-Thi-Mac,Search Bar Profile Button clicked,14.473</v>
      </c>
    </row>
    <row r="181" spans="1:3" x14ac:dyDescent="0.3">
      <c r="A181" t="s">
        <v>138</v>
      </c>
      <c r="C181" t="str">
        <f t="shared" si="4"/>
        <v>Anh-Thi-Mac,Go to accessibility page click,2.158</v>
      </c>
    </row>
    <row r="182" spans="1:3" x14ac:dyDescent="0.3">
      <c r="A182" t="s">
        <v>139</v>
      </c>
      <c r="C182" t="str">
        <f t="shared" si="4"/>
        <v>Anh-Thi-Mac,Bold/Unbold check clicked,4.209</v>
      </c>
    </row>
    <row r="183" spans="1:3" x14ac:dyDescent="0.3">
      <c r="A183" t="s">
        <v>140</v>
      </c>
      <c r="C183" t="str">
        <f t="shared" si="4"/>
        <v>Anh-Thi-Mac,Cycle Color Blind Mode,4.7</v>
      </c>
    </row>
    <row r="184" spans="1:3" x14ac:dyDescent="0.3">
      <c r="A184" t="s">
        <v>141</v>
      </c>
      <c r="C184" t="str">
        <f t="shared" si="4"/>
        <v>Anh-Thi-Mac,Increase Text size clicked,4.209</v>
      </c>
    </row>
    <row r="185" spans="1:3" x14ac:dyDescent="0.3">
      <c r="A185" t="s">
        <v>142</v>
      </c>
      <c r="C185" t="str">
        <f t="shared" si="4"/>
        <v>Anh-Thi-Mac,Back button from accessibility page,3.239</v>
      </c>
    </row>
    <row r="186" spans="1:3" x14ac:dyDescent="0.3">
      <c r="A186" t="s">
        <v>143</v>
      </c>
      <c r="C186" t="str">
        <f t="shared" si="4"/>
        <v>Anh-Thi-Mac,Back button from profile page,1.448</v>
      </c>
    </row>
    <row r="187" spans="1:3" x14ac:dyDescent="0.3">
      <c r="A187" t="s">
        <v>144</v>
      </c>
      <c r="C187" t="str">
        <f t="shared" si="4"/>
        <v>Anh-Thi-Mac,CALENDAR navigation button clicked,2.886</v>
      </c>
    </row>
    <row r="188" spans="1:3" x14ac:dyDescent="0.3">
      <c r="A188" t="s">
        <v>145</v>
      </c>
      <c r="C188" t="str">
        <f t="shared" si="4"/>
        <v>Anh-Thi-Mac,Go Ahead in Calendar Date,3.307</v>
      </c>
    </row>
    <row r="189" spans="1:3" x14ac:dyDescent="0.3">
      <c r="A189" t="s">
        <v>146</v>
      </c>
      <c r="C189" t="str">
        <f t="shared" si="4"/>
        <v>Anh-Thi-Mac,Set Calendar Date Daily,2.737</v>
      </c>
    </row>
    <row r="190" spans="1:3" x14ac:dyDescent="0.3">
      <c r="A190" t="s">
        <v>147</v>
      </c>
      <c r="C190" t="str">
        <f t="shared" si="4"/>
        <v>Anh-Thi-Mac,Search Bar Query submit,7.997</v>
      </c>
    </row>
    <row r="191" spans="1:3" x14ac:dyDescent="0.3">
      <c r="A191" t="s">
        <v>148</v>
      </c>
      <c r="C191" t="str">
        <f t="shared" si="4"/>
        <v>Anh-Thi-Mac,Campus Toggle LOYOLA,4.732</v>
      </c>
    </row>
    <row r="192" spans="1:3" x14ac:dyDescent="0.3">
      <c r="A192" t="s">
        <v>149</v>
      </c>
      <c r="C192" t="str">
        <f t="shared" si="4"/>
        <v>Anh-Thi-Mac,Campus Toggle SGW,1.907</v>
      </c>
    </row>
    <row r="193" spans="1:3" x14ac:dyDescent="0.3">
      <c r="A193" t="s">
        <v>150</v>
      </c>
      <c r="C193" t="str">
        <f t="shared" si="4"/>
        <v>Anh-Thi-Mac,Campus Toggle LOYOLA,1.523</v>
      </c>
    </row>
    <row r="194" spans="1:3" x14ac:dyDescent="0.3">
      <c r="A194" t="s">
        <v>151</v>
      </c>
      <c r="C194" t="str">
        <f t="shared" si="4"/>
        <v>Anh-Thi-Mac,CALENDAR navigation button clicked,2.365</v>
      </c>
    </row>
    <row r="195" spans="1:3" x14ac:dyDescent="0.3">
      <c r="A195" t="s">
        <v>152</v>
      </c>
      <c r="C195" t="str">
        <f t="shared" si="4"/>
        <v>Anh-Thi-Mac,Go Ahead in Calendar Date,2.937</v>
      </c>
    </row>
    <row r="196" spans="1:3" x14ac:dyDescent="0.3">
      <c r="A196" t="s">
        <v>153</v>
      </c>
      <c r="C196" t="str">
        <f t="shared" si="4"/>
        <v>Anh-Thi-Mac,Set Calendar Date Daily,1.066</v>
      </c>
    </row>
    <row r="197" spans="1:3" x14ac:dyDescent="0.3">
      <c r="A197" t="s">
        <v>154</v>
      </c>
      <c r="C197" t="str">
        <f t="shared" si="4"/>
        <v>Anh-Thi-Mac,Set Calendar Date Daily,0.811</v>
      </c>
    </row>
    <row r="198" spans="1:3" x14ac:dyDescent="0.3">
      <c r="A198" t="s">
        <v>155</v>
      </c>
      <c r="C198" t="str">
        <f t="shared" si="4"/>
        <v>Anh-Thi-Mac,Set Calendar Date Daily,0.159</v>
      </c>
    </row>
    <row r="199" spans="1:3" x14ac:dyDescent="0.3">
      <c r="A199" t="s">
        <v>156</v>
      </c>
      <c r="C199" t="str">
        <f t="shared" si="4"/>
        <v>Anh-Thi-Mac,Set Calendar Date Weekly,1.908</v>
      </c>
    </row>
    <row r="200" spans="1:3" x14ac:dyDescent="0.3">
      <c r="A200" t="s">
        <v>157</v>
      </c>
      <c r="C200" t="str">
        <f t="shared" si="4"/>
        <v>Anh-Thi-Mac,Set Calendar Date Daily,0.82</v>
      </c>
    </row>
    <row r="201" spans="1:3" x14ac:dyDescent="0.3">
      <c r="A201" t="s">
        <v>158</v>
      </c>
      <c r="C201" t="str">
        <f t="shared" si="4"/>
        <v>Anh-Thi-Mac,POI navigation button clicked,2.443</v>
      </c>
    </row>
    <row r="202" spans="1:3" x14ac:dyDescent="0.3">
      <c r="A202" t="s">
        <v>159</v>
      </c>
      <c r="C202" t="str">
        <f t="shared" si="4"/>
        <v>Anh-Thi-Mac,MAP navigation button clicked,1.549</v>
      </c>
    </row>
    <row r="203" spans="1:3" x14ac:dyDescent="0.3">
      <c r="A203" t="s">
        <v>160</v>
      </c>
      <c r="C203" t="str">
        <f t="shared" si="4"/>
        <v>Anh-Thi-Mac,CALENDAR navigation button clicked,2.283</v>
      </c>
    </row>
    <row r="204" spans="1:3" x14ac:dyDescent="0.3">
      <c r="A204" t="s">
        <v>161</v>
      </c>
      <c r="C204" t="str">
        <f t="shared" si="4"/>
        <v>Anh-Thi-Mac,MAP navigation button clicked,1.199</v>
      </c>
    </row>
    <row r="205" spans="1:3" x14ac:dyDescent="0.3">
      <c r="A205" t="s">
        <v>162</v>
      </c>
      <c r="C205" t="str">
        <f t="shared" si="4"/>
        <v>Anh-Thi-Mac,Click on Shuttle Stop marker,5.07</v>
      </c>
    </row>
    <row r="206" spans="1:3" x14ac:dyDescent="0.3">
      <c r="A206" t="s">
        <v>163</v>
      </c>
      <c r="C206" t="str">
        <f t="shared" si="4"/>
        <v>Anh-Thi-Mac,Show Shuttle full schedule,4.735</v>
      </c>
    </row>
    <row r="207" spans="1:3" x14ac:dyDescent="0.3">
      <c r="A207" t="s">
        <v>164</v>
      </c>
      <c r="C207" t="str">
        <f t="shared" si="4"/>
        <v>Anh-Thi-Mac,Dismiss Shuttle Stop Info card,11.423</v>
      </c>
    </row>
    <row r="208" spans="1:3" x14ac:dyDescent="0.3">
      <c r="A208" t="s">
        <v>165</v>
      </c>
      <c r="C208" t="str">
        <f t="shared" si="4"/>
        <v>Anh-Thi-Mac,Building suggestion clicked,7.291</v>
      </c>
    </row>
    <row r="209" spans="1:3" x14ac:dyDescent="0.3">
      <c r="A209" t="s">
        <v>166</v>
      </c>
      <c r="C209" t="str">
        <f t="shared" si="4"/>
        <v>Anh-Thi-Mac,Bottom Card Go (Search route),3.075</v>
      </c>
    </row>
    <row r="212" spans="1:3" x14ac:dyDescent="0.3">
      <c r="A212" t="s">
        <v>64</v>
      </c>
    </row>
    <row r="213" spans="1:3" x14ac:dyDescent="0.3">
      <c r="A213" t="s">
        <v>65</v>
      </c>
    </row>
    <row r="214" spans="1:3" x14ac:dyDescent="0.3">
      <c r="A214" t="s">
        <v>64</v>
      </c>
    </row>
    <row r="216" spans="1:3" x14ac:dyDescent="0.3">
      <c r="A216" t="s">
        <v>167</v>
      </c>
    </row>
    <row r="217" spans="1:3" x14ac:dyDescent="0.3">
      <c r="A217" t="s">
        <v>67</v>
      </c>
    </row>
    <row r="218" spans="1:3" x14ac:dyDescent="0.3">
      <c r="A218" t="s">
        <v>168</v>
      </c>
    </row>
    <row r="219" spans="1:3" x14ac:dyDescent="0.3">
      <c r="A219" t="s">
        <v>169</v>
      </c>
    </row>
    <row r="220" spans="1:3" x14ac:dyDescent="0.3">
      <c r="A220" t="s">
        <v>170</v>
      </c>
    </row>
    <row r="222" spans="1:3" x14ac:dyDescent="0.3">
      <c r="A222" t="s">
        <v>171</v>
      </c>
    </row>
    <row r="223" spans="1:3" x14ac:dyDescent="0.3">
      <c r="A223" t="s">
        <v>172</v>
      </c>
    </row>
    <row r="224" spans="1:3" x14ac:dyDescent="0.3">
      <c r="A224" t="s">
        <v>173</v>
      </c>
    </row>
    <row r="227" spans="1:3" x14ac:dyDescent="0.3">
      <c r="A227" t="s">
        <v>174</v>
      </c>
    </row>
    <row r="230" spans="1:3" x14ac:dyDescent="0.3">
      <c r="A230" t="s">
        <v>175</v>
      </c>
      <c r="C230" t="str">
        <f>CONCATENATE("Tamar Oughourlian", ",",A230)</f>
        <v>Tamar Oughourlian,App Loaded,0.091</v>
      </c>
    </row>
    <row r="231" spans="1:3" x14ac:dyDescent="0.3">
      <c r="A231" t="s">
        <v>176</v>
      </c>
      <c r="C231" t="str">
        <f t="shared" ref="C231:C245" si="5">CONCATENATE("Tamar Oughourlian", ",",A231)</f>
        <v>Tamar Oughourlian,Search Bar Profile Button clicked,39.13</v>
      </c>
    </row>
    <row r="232" spans="1:3" x14ac:dyDescent="0.3">
      <c r="A232" t="s">
        <v>177</v>
      </c>
      <c r="C232" t="str">
        <f t="shared" si="5"/>
        <v>Tamar Oughourlian,Go to accessibility page click,1.898</v>
      </c>
    </row>
    <row r="233" spans="1:3" x14ac:dyDescent="0.3">
      <c r="A233" t="s">
        <v>178</v>
      </c>
      <c r="C233" t="str">
        <f t="shared" si="5"/>
        <v>Tamar Oughourlian,Increase Text size clicked,4.984</v>
      </c>
    </row>
    <row r="234" spans="1:3" x14ac:dyDescent="0.3">
      <c r="A234" t="s">
        <v>179</v>
      </c>
      <c r="C234" t="str">
        <f t="shared" si="5"/>
        <v>Tamar Oughourlian,Cycle Color Blind Mode,6.244</v>
      </c>
    </row>
    <row r="235" spans="1:3" x14ac:dyDescent="0.3">
      <c r="A235" t="s">
        <v>180</v>
      </c>
      <c r="C235" t="str">
        <f t="shared" si="5"/>
        <v>Tamar Oughourlian,Bold/Unbold check clicked,1.132</v>
      </c>
    </row>
    <row r="236" spans="1:3" x14ac:dyDescent="0.3">
      <c r="A236" t="s">
        <v>181</v>
      </c>
      <c r="C236" t="str">
        <f t="shared" si="5"/>
        <v>Tamar Oughourlian,Back button from accessibility page,1.61</v>
      </c>
    </row>
    <row r="237" spans="1:3" x14ac:dyDescent="0.3">
      <c r="A237" t="s">
        <v>182</v>
      </c>
      <c r="C237" t="str">
        <f t="shared" si="5"/>
        <v>Tamar Oughourlian,Back button from profile page,0.922</v>
      </c>
    </row>
    <row r="238" spans="1:3" x14ac:dyDescent="0.3">
      <c r="A238" t="s">
        <v>183</v>
      </c>
      <c r="C238" t="str">
        <f t="shared" si="5"/>
        <v>Tamar Oughourlian,CALENDAR navigation button clicked,10.053</v>
      </c>
    </row>
    <row r="239" spans="1:3" x14ac:dyDescent="0.3">
      <c r="A239" t="s">
        <v>184</v>
      </c>
      <c r="C239" t="str">
        <f t="shared" si="5"/>
        <v>Tamar Oughourlian,Go Ahead in Calendar Date,1.396</v>
      </c>
    </row>
    <row r="240" spans="1:3" x14ac:dyDescent="0.3">
      <c r="A240" t="s">
        <v>185</v>
      </c>
      <c r="C240" t="str">
        <f t="shared" si="5"/>
        <v>Tamar Oughourlian,MAP navigation button clicked,15.365</v>
      </c>
    </row>
    <row r="241" spans="1:3" x14ac:dyDescent="0.3">
      <c r="A241" t="s">
        <v>186</v>
      </c>
      <c r="C241" t="str">
        <f t="shared" si="5"/>
        <v>Tamar Oughourlian,Click on Shuttle Stop marker,3.712</v>
      </c>
    </row>
    <row r="242" spans="1:3" x14ac:dyDescent="0.3">
      <c r="A242" t="s">
        <v>187</v>
      </c>
      <c r="C242" t="str">
        <f t="shared" si="5"/>
        <v>Tamar Oughourlian,Show Shuttle full schedule,2.726</v>
      </c>
    </row>
    <row r="243" spans="1:3" x14ac:dyDescent="0.3">
      <c r="A243" t="s">
        <v>188</v>
      </c>
      <c r="C243" t="str">
        <f t="shared" si="5"/>
        <v>Tamar Oughourlian,Dismiss Shuttle Stop Info card,14.874</v>
      </c>
    </row>
    <row r="244" spans="1:3" x14ac:dyDescent="0.3">
      <c r="A244" t="s">
        <v>189</v>
      </c>
      <c r="C244" t="str">
        <f t="shared" si="5"/>
        <v>Tamar Oughourlian,Building suggestion clicked,11.734</v>
      </c>
    </row>
    <row r="245" spans="1:3" x14ac:dyDescent="0.3">
      <c r="A245" t="s">
        <v>190</v>
      </c>
      <c r="C245" t="str">
        <f t="shared" si="5"/>
        <v>Tamar Oughourlian,Bottom Card Go (Search route),4.821</v>
      </c>
    </row>
    <row r="248" spans="1:3" x14ac:dyDescent="0.3">
      <c r="A248" t="s">
        <v>64</v>
      </c>
    </row>
    <row r="249" spans="1:3" x14ac:dyDescent="0.3">
      <c r="A249" t="s">
        <v>65</v>
      </c>
    </row>
    <row r="250" spans="1:3" x14ac:dyDescent="0.3">
      <c r="A250" t="s">
        <v>64</v>
      </c>
    </row>
    <row r="252" spans="1:3" x14ac:dyDescent="0.3">
      <c r="A252" t="s">
        <v>191</v>
      </c>
    </row>
    <row r="254" spans="1:3" x14ac:dyDescent="0.3">
      <c r="A254" t="s">
        <v>192</v>
      </c>
    </row>
    <row r="256" spans="1:3" x14ac:dyDescent="0.3">
      <c r="A256" t="s">
        <v>193</v>
      </c>
    </row>
    <row r="259" spans="1:3" x14ac:dyDescent="0.3">
      <c r="A259" t="s">
        <v>194</v>
      </c>
    </row>
    <row r="262" spans="1:3" x14ac:dyDescent="0.3">
      <c r="A262" t="s">
        <v>195</v>
      </c>
      <c r="C262" t="str">
        <f>CONCATENATE("Ahmed Gasser", ",",A262)</f>
        <v>Ahmed Gasser,App Loaded,0.056</v>
      </c>
    </row>
    <row r="263" spans="1:3" x14ac:dyDescent="0.3">
      <c r="A263" t="s">
        <v>196</v>
      </c>
      <c r="C263" t="str">
        <f t="shared" ref="C263:C285" si="6">CONCATENATE("Ahmed Gasser", ",",A263)</f>
        <v>Ahmed Gasser,Search Bar Profile Button clicked,11.303</v>
      </c>
    </row>
    <row r="264" spans="1:3" x14ac:dyDescent="0.3">
      <c r="A264" t="s">
        <v>197</v>
      </c>
      <c r="C264" t="str">
        <f t="shared" si="6"/>
        <v>Ahmed Gasser,Go to accessibility page click,1.198</v>
      </c>
    </row>
    <row r="265" spans="1:3" x14ac:dyDescent="0.3">
      <c r="A265" t="s">
        <v>198</v>
      </c>
      <c r="C265" t="str">
        <f t="shared" si="6"/>
        <v>Ahmed Gasser,Bold/Unbold check clicked,7.818</v>
      </c>
    </row>
    <row r="266" spans="1:3" x14ac:dyDescent="0.3">
      <c r="A266" t="s">
        <v>199</v>
      </c>
      <c r="C266" t="str">
        <f t="shared" si="6"/>
        <v>Ahmed Gasser,Cycle Color Blind Mode,3.092</v>
      </c>
    </row>
    <row r="267" spans="1:3" x14ac:dyDescent="0.3">
      <c r="A267" t="s">
        <v>200</v>
      </c>
      <c r="C267" t="str">
        <f t="shared" si="6"/>
        <v>Ahmed Gasser,Cycle Color Blind Mode,0.395</v>
      </c>
    </row>
    <row r="268" spans="1:3" x14ac:dyDescent="0.3">
      <c r="A268" t="s">
        <v>201</v>
      </c>
      <c r="C268" t="str">
        <f t="shared" si="6"/>
        <v>Ahmed Gasser,Cycle Color Blind Mode,0.91</v>
      </c>
    </row>
    <row r="269" spans="1:3" x14ac:dyDescent="0.3">
      <c r="A269" t="s">
        <v>202</v>
      </c>
      <c r="C269" t="str">
        <f t="shared" si="6"/>
        <v>Ahmed Gasser,Cycle Color Blind Mode,0.582</v>
      </c>
    </row>
    <row r="270" spans="1:3" x14ac:dyDescent="0.3">
      <c r="A270" t="s">
        <v>203</v>
      </c>
      <c r="C270" t="str">
        <f t="shared" si="6"/>
        <v>Ahmed Gasser,Cycle Color Blind Mode,0.571</v>
      </c>
    </row>
    <row r="271" spans="1:3" x14ac:dyDescent="0.3">
      <c r="A271" t="s">
        <v>204</v>
      </c>
      <c r="C271" t="str">
        <f t="shared" si="6"/>
        <v>Ahmed Gasser,Increase Text size clicked,4.536</v>
      </c>
    </row>
    <row r="272" spans="1:3" x14ac:dyDescent="0.3">
      <c r="A272" t="s">
        <v>205</v>
      </c>
      <c r="C272" t="str">
        <f t="shared" si="6"/>
        <v>Ahmed Gasser,Back button from accessibility page,2.079</v>
      </c>
    </row>
    <row r="273" spans="1:3" x14ac:dyDescent="0.3">
      <c r="A273" t="s">
        <v>206</v>
      </c>
      <c r="C273" t="str">
        <f t="shared" si="6"/>
        <v>Ahmed Gasser,Back button from profile page,4.613</v>
      </c>
    </row>
    <row r="274" spans="1:3" x14ac:dyDescent="0.3">
      <c r="A274" t="s">
        <v>207</v>
      </c>
      <c r="C274" t="str">
        <f t="shared" si="6"/>
        <v>Ahmed Gasser,CALENDAR navigation button clicked,2.028</v>
      </c>
    </row>
    <row r="275" spans="1:3" x14ac:dyDescent="0.3">
      <c r="A275" t="s">
        <v>208</v>
      </c>
      <c r="C275" t="str">
        <f t="shared" si="6"/>
        <v>Ahmed Gasser,Go Ahead in Calendar Date,1.628</v>
      </c>
    </row>
    <row r="276" spans="1:3" x14ac:dyDescent="0.3">
      <c r="A276" t="s">
        <v>209</v>
      </c>
      <c r="C276" t="str">
        <f t="shared" si="6"/>
        <v>Ahmed Gasser,Set Calendar Date Daily,8.969</v>
      </c>
    </row>
    <row r="277" spans="1:3" x14ac:dyDescent="0.3">
      <c r="A277" t="s">
        <v>210</v>
      </c>
      <c r="C277" t="str">
        <f t="shared" si="6"/>
        <v>Ahmed Gasser,POI navigation button clicked,11.582</v>
      </c>
    </row>
    <row r="278" spans="1:3" x14ac:dyDescent="0.3">
      <c r="A278" t="s">
        <v>211</v>
      </c>
      <c r="C278" t="str">
        <f t="shared" si="6"/>
        <v>Ahmed Gasser,MAP navigation button clicked,1.783</v>
      </c>
    </row>
    <row r="279" spans="1:3" x14ac:dyDescent="0.3">
      <c r="A279" t="s">
        <v>212</v>
      </c>
      <c r="C279" t="str">
        <f t="shared" si="6"/>
        <v>Ahmed Gasser,Click on Shuttle Stop marker,8.316</v>
      </c>
    </row>
    <row r="280" spans="1:3" x14ac:dyDescent="0.3">
      <c r="A280" t="s">
        <v>213</v>
      </c>
      <c r="C280" t="str">
        <f t="shared" si="6"/>
        <v>Ahmed Gasser,Show Shuttle full schedule,2.365</v>
      </c>
    </row>
    <row r="281" spans="1:3" x14ac:dyDescent="0.3">
      <c r="A281" t="s">
        <v>214</v>
      </c>
      <c r="C281" t="str">
        <f t="shared" si="6"/>
        <v>Ahmed Gasser,Dismiss Shuttle Stop Info card,10.038</v>
      </c>
    </row>
    <row r="282" spans="1:3" x14ac:dyDescent="0.3">
      <c r="A282" t="s">
        <v>215</v>
      </c>
      <c r="C282" t="str">
        <f t="shared" si="6"/>
        <v>Ahmed Gasser,Zoom In,3.942</v>
      </c>
    </row>
    <row r="283" spans="1:3" x14ac:dyDescent="0.3">
      <c r="A283" t="s">
        <v>216</v>
      </c>
      <c r="C283" t="str">
        <f t="shared" si="6"/>
        <v>Ahmed Gasser,Zoom In,0.651</v>
      </c>
    </row>
    <row r="284" spans="1:3" x14ac:dyDescent="0.3">
      <c r="A284" t="s">
        <v>217</v>
      </c>
      <c r="C284" t="str">
        <f t="shared" si="6"/>
        <v>Ahmed Gasser,Building suggestion clicked,12.058</v>
      </c>
    </row>
    <row r="285" spans="1:3" x14ac:dyDescent="0.3">
      <c r="A285" t="s">
        <v>218</v>
      </c>
      <c r="C285" t="str">
        <f t="shared" si="6"/>
        <v>Ahmed Gasser,Top Bar go click,5.164</v>
      </c>
    </row>
    <row r="287" spans="1:3" x14ac:dyDescent="0.3">
      <c r="A287" t="s">
        <v>64</v>
      </c>
    </row>
    <row r="288" spans="1:3" x14ac:dyDescent="0.3">
      <c r="A288" t="s">
        <v>65</v>
      </c>
    </row>
    <row r="289" spans="1:12" x14ac:dyDescent="0.3">
      <c r="A289" t="s">
        <v>64</v>
      </c>
      <c r="I289" t="s">
        <v>226</v>
      </c>
    </row>
    <row r="291" spans="1:12" x14ac:dyDescent="0.3">
      <c r="A291" t="s">
        <v>219</v>
      </c>
      <c r="E291" t="e">
        <f>_xlfn.TEXTAFTER(A285, " D  ", 1)</f>
        <v>#N/A</v>
      </c>
      <c r="I291" s="1" t="s">
        <v>223</v>
      </c>
      <c r="L291" t="s">
        <v>224</v>
      </c>
    </row>
    <row r="292" spans="1:12" x14ac:dyDescent="0.3">
      <c r="I292" t="s">
        <v>224</v>
      </c>
      <c r="J292" t="e">
        <f>_xlfn.TEXTAFTER(F286, " D  ", 1)</f>
        <v>#VALUE!</v>
      </c>
      <c r="L292" t="s">
        <v>224</v>
      </c>
    </row>
    <row r="293" spans="1:12" x14ac:dyDescent="0.3">
      <c r="A293" t="s">
        <v>220</v>
      </c>
      <c r="I293" t="s">
        <v>224</v>
      </c>
      <c r="L293" t="s">
        <v>224</v>
      </c>
    </row>
    <row r="294" spans="1:12" x14ac:dyDescent="0.3">
      <c r="I294" t="s">
        <v>225</v>
      </c>
      <c r="L294" t="s">
        <v>224</v>
      </c>
    </row>
    <row r="295" spans="1:12" x14ac:dyDescent="0.3">
      <c r="A295" t="s">
        <v>221</v>
      </c>
    </row>
    <row r="297" spans="1:12" x14ac:dyDescent="0.3">
      <c r="A297" t="s">
        <v>222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Hossam Gasser</dc:creator>
  <cp:lastModifiedBy>Hossam Gasser</cp:lastModifiedBy>
  <dcterms:created xsi:type="dcterms:W3CDTF">2026-03-08T23:53:52Z</dcterms:created>
  <dcterms:modified xsi:type="dcterms:W3CDTF">2026-03-09T00:42:20Z</dcterms:modified>
</cp:coreProperties>
</file>